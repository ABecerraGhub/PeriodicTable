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40.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3"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arielbecerra/Documents/Documentos/Unipamplona/Invest/Proyecto_2022-2023/ScienSolar/1.6/PeriodicTable E Field/"/>
    </mc:Choice>
  </mc:AlternateContent>
  <xr:revisionPtr revIDLastSave="0" documentId="13_ncr:1_{EE9D649D-7B0C-0D4B-B869-3543691C2C25}" xr6:coauthVersionLast="47" xr6:coauthVersionMax="47" xr10:uidLastSave="{00000000-0000-0000-0000-000000000000}"/>
  <bookViews>
    <workbookView xWindow="120" yWindow="780" windowWidth="29360" windowHeight="17820" xr2:uid="{73F32F04-DCEA-4E4F-82A7-EDD051082AC3}"/>
  </bookViews>
  <sheets>
    <sheet name="Hoja3" sheetId="3" r:id="rId1"/>
    <sheet name="CONFIG" sheetId="2" r:id="rId2"/>
    <sheet name="Hoja1" sheetId="1"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G6" i="3" l="1"/>
  <c r="F6" i="3"/>
  <c r="E6" i="3"/>
  <c r="D6" i="3"/>
  <c r="I5" i="3"/>
  <c r="H5" i="3"/>
  <c r="G5" i="3"/>
  <c r="F5" i="3"/>
  <c r="E5" i="3"/>
  <c r="D5" i="3"/>
  <c r="I4" i="3"/>
  <c r="G4" i="3"/>
  <c r="F4" i="3"/>
  <c r="H4" i="3"/>
  <c r="E4" i="3"/>
  <c r="D4" i="3"/>
  <c r="I3" i="3"/>
  <c r="H3" i="3"/>
  <c r="E3" i="3"/>
  <c r="D3" i="3"/>
  <c r="H2" i="3"/>
  <c r="E2" i="3"/>
  <c r="G1" i="3"/>
  <c r="K32" i="2"/>
  <c r="K8" i="2"/>
  <c r="K2" i="2"/>
  <c r="J32" i="2"/>
  <c r="J8" i="2"/>
  <c r="J5" i="2"/>
  <c r="J4" i="2"/>
  <c r="J3" i="2"/>
  <c r="J2" i="2"/>
  <c r="I32" i="2"/>
  <c r="I8" i="2"/>
  <c r="H32" i="2"/>
  <c r="H8" i="2"/>
  <c r="H5" i="2"/>
  <c r="H4" i="2"/>
  <c r="H3" i="2"/>
  <c r="H2" i="2"/>
  <c r="G32" i="2"/>
  <c r="G8" i="2"/>
  <c r="F32" i="2"/>
  <c r="F8" i="2"/>
  <c r="F2" i="2"/>
  <c r="E32" i="2"/>
  <c r="E8" i="2"/>
  <c r="D6" i="2"/>
  <c r="D5" i="2"/>
  <c r="D4" i="2"/>
  <c r="D3" i="2"/>
  <c r="D2" i="2"/>
  <c r="C3" i="2"/>
  <c r="C2" i="2"/>
  <c r="B35" i="2"/>
  <c r="B34" i="2"/>
  <c r="B33" i="2"/>
  <c r="B5" i="2"/>
  <c r="B4" i="2"/>
  <c r="B3" i="2"/>
  <c r="B2" i="2"/>
  <c r="AB555" i="2"/>
  <c r="AB554" i="2"/>
  <c r="AB553" i="2"/>
  <c r="AB552" i="2"/>
  <c r="AB551" i="2"/>
  <c r="AB550" i="2"/>
  <c r="AB549" i="2"/>
  <c r="AB548" i="2"/>
  <c r="AB547" i="2"/>
  <c r="AB546" i="2"/>
  <c r="AB545" i="2"/>
  <c r="AB544" i="2"/>
  <c r="AB543" i="2"/>
  <c r="AB542" i="2"/>
  <c r="AB541" i="2"/>
  <c r="AB540" i="2"/>
  <c r="AB539" i="2"/>
  <c r="AB538" i="2"/>
  <c r="AB537" i="2"/>
  <c r="AB536" i="2"/>
  <c r="AB535" i="2"/>
  <c r="AB534" i="2"/>
  <c r="AB533" i="2"/>
  <c r="AB532" i="2"/>
  <c r="AB531" i="2"/>
  <c r="AB530" i="2"/>
  <c r="AB529" i="2"/>
  <c r="AB528" i="2"/>
  <c r="AB527" i="2"/>
  <c r="AB526" i="2"/>
  <c r="AB525" i="2"/>
  <c r="AB524" i="2"/>
  <c r="AB523" i="2"/>
  <c r="AB522" i="2"/>
  <c r="AB521" i="2"/>
  <c r="AB520" i="2"/>
  <c r="AB519" i="2"/>
  <c r="AB518" i="2"/>
  <c r="AB517" i="2"/>
  <c r="AB516" i="2"/>
  <c r="AB515" i="2"/>
  <c r="AB514" i="2"/>
  <c r="AB513" i="2"/>
  <c r="AB512" i="2"/>
  <c r="AB511" i="2"/>
  <c r="AB510" i="2"/>
  <c r="AB509" i="2"/>
  <c r="AB508" i="2"/>
  <c r="AB507" i="2"/>
  <c r="AB506" i="2"/>
  <c r="AB505" i="2"/>
  <c r="AB504" i="2"/>
  <c r="AB503" i="2"/>
  <c r="AB502" i="2"/>
  <c r="AB501" i="2"/>
  <c r="AB500" i="2"/>
  <c r="AB499" i="2"/>
  <c r="AB498" i="2"/>
  <c r="AB497" i="2"/>
  <c r="AB496" i="2"/>
  <c r="AB495" i="2"/>
  <c r="AB494" i="2"/>
  <c r="AB493" i="2"/>
  <c r="AB492" i="2"/>
  <c r="AB491" i="2"/>
  <c r="AB490" i="2"/>
  <c r="AB489" i="2"/>
  <c r="AB488" i="2"/>
  <c r="AB487" i="2"/>
  <c r="AB486" i="2"/>
  <c r="AB485" i="2"/>
  <c r="AB484" i="2"/>
  <c r="AB483" i="2"/>
  <c r="AB482" i="2"/>
  <c r="AB481" i="2"/>
  <c r="AB480" i="2"/>
  <c r="AB479" i="2"/>
  <c r="AB478" i="2"/>
  <c r="AB477" i="2"/>
  <c r="AB476" i="2"/>
  <c r="AB475" i="2"/>
  <c r="AB474" i="2"/>
  <c r="AB473" i="2"/>
  <c r="AB472" i="2"/>
  <c r="AB471" i="2"/>
  <c r="AB470" i="2"/>
  <c r="AB469" i="2"/>
  <c r="AB468" i="2"/>
  <c r="AB467" i="2"/>
  <c r="AB466" i="2"/>
  <c r="AB465" i="2"/>
  <c r="AB464" i="2"/>
  <c r="AB463" i="2"/>
  <c r="AB462" i="2"/>
  <c r="AB461" i="2"/>
  <c r="AB460" i="2"/>
  <c r="AB459" i="2"/>
  <c r="AB458" i="2"/>
  <c r="AB457" i="2"/>
  <c r="AB456" i="2"/>
  <c r="AB455" i="2"/>
  <c r="AB454" i="2"/>
  <c r="AB453" i="2"/>
  <c r="AB452" i="2"/>
  <c r="AB451" i="2"/>
  <c r="AB450" i="2"/>
  <c r="AB449" i="2"/>
  <c r="AB448" i="2"/>
  <c r="AB447" i="2"/>
  <c r="AB446" i="2"/>
  <c r="AB445" i="2"/>
  <c r="AB444" i="2"/>
  <c r="AB443" i="2"/>
  <c r="AB442" i="2"/>
  <c r="AB441" i="2"/>
  <c r="AB440" i="2"/>
  <c r="AB439" i="2"/>
  <c r="AB438" i="2"/>
  <c r="AB437" i="2"/>
  <c r="AB436" i="2"/>
  <c r="AB435" i="2"/>
  <c r="AB434" i="2"/>
  <c r="AB433" i="2"/>
  <c r="AB432" i="2"/>
  <c r="AB431" i="2"/>
  <c r="AB430" i="2"/>
  <c r="AB429" i="2"/>
  <c r="AB428" i="2"/>
  <c r="AB427" i="2"/>
  <c r="AB426" i="2"/>
  <c r="AB425" i="2"/>
  <c r="AB424" i="2"/>
  <c r="AB423" i="2"/>
  <c r="AB422" i="2"/>
  <c r="AB421" i="2"/>
  <c r="AB420" i="2"/>
  <c r="AB419" i="2"/>
  <c r="AB418" i="2"/>
  <c r="AB417" i="2"/>
  <c r="AB416" i="2"/>
  <c r="AB415" i="2"/>
  <c r="AB414" i="2"/>
  <c r="AB413" i="2"/>
  <c r="AB412" i="2"/>
  <c r="AB411" i="2"/>
  <c r="AB410" i="2"/>
  <c r="AB409" i="2"/>
  <c r="AB408" i="2"/>
  <c r="AB407" i="2"/>
  <c r="AB406" i="2"/>
  <c r="AB405" i="2"/>
  <c r="AB404" i="2"/>
  <c r="AB403" i="2"/>
  <c r="AB402" i="2"/>
  <c r="AB401" i="2"/>
  <c r="AB400" i="2"/>
  <c r="AB399" i="2"/>
  <c r="AB398" i="2"/>
  <c r="AB397" i="2"/>
  <c r="AB396" i="2"/>
  <c r="AB395" i="2"/>
  <c r="AB394" i="2"/>
  <c r="AB393" i="2"/>
  <c r="AB392" i="2"/>
  <c r="AB391" i="2"/>
  <c r="AB390" i="2"/>
  <c r="AB389" i="2"/>
  <c r="AB388" i="2"/>
  <c r="AB387" i="2"/>
  <c r="AB386" i="2"/>
  <c r="AB385" i="2"/>
  <c r="AB384" i="2"/>
  <c r="AB383" i="2"/>
  <c r="AB382" i="2"/>
  <c r="AB381" i="2"/>
  <c r="AB380" i="2"/>
  <c r="AB379" i="2"/>
  <c r="AB378" i="2"/>
  <c r="AB377" i="2"/>
  <c r="AB376" i="2"/>
  <c r="AB375" i="2"/>
  <c r="AB374" i="2"/>
  <c r="AB373" i="2"/>
  <c r="AB372" i="2"/>
  <c r="AB371" i="2"/>
  <c r="AB370" i="2"/>
  <c r="AB369" i="2"/>
  <c r="AB368" i="2"/>
  <c r="AB367" i="2"/>
  <c r="AB366" i="2"/>
  <c r="AB365" i="2"/>
  <c r="AB364" i="2"/>
  <c r="AB363" i="2"/>
  <c r="AB362" i="2"/>
  <c r="AB361" i="2"/>
  <c r="AB360" i="2"/>
  <c r="AB359" i="2"/>
  <c r="AB358" i="2"/>
  <c r="AB357" i="2"/>
  <c r="AB356" i="2"/>
  <c r="AB355" i="2"/>
  <c r="AB354" i="2"/>
  <c r="AB353" i="2"/>
  <c r="AB352" i="2"/>
  <c r="AB351" i="2"/>
  <c r="AB350" i="2"/>
  <c r="AB349" i="2"/>
  <c r="AB348" i="2"/>
  <c r="AB347" i="2"/>
  <c r="AB346" i="2"/>
  <c r="AB345" i="2"/>
  <c r="AB344" i="2"/>
  <c r="AB343" i="2"/>
  <c r="AB342" i="2"/>
  <c r="AB341" i="2"/>
  <c r="AB340" i="2"/>
  <c r="AB339" i="2"/>
  <c r="AB338" i="2"/>
  <c r="AB337" i="2"/>
  <c r="AB336" i="2"/>
  <c r="AB335" i="2"/>
  <c r="AB334" i="2"/>
  <c r="AB333" i="2"/>
  <c r="AB332" i="2"/>
  <c r="AB331" i="2"/>
  <c r="AB330" i="2"/>
  <c r="AB329" i="2"/>
  <c r="AB328" i="2"/>
  <c r="AB327" i="2"/>
  <c r="AB326" i="2"/>
  <c r="AB325" i="2"/>
  <c r="AB324" i="2"/>
  <c r="AB323" i="2"/>
  <c r="AB322" i="2"/>
  <c r="AB321" i="2"/>
  <c r="AB320" i="2"/>
  <c r="AB319" i="2"/>
  <c r="AB318" i="2"/>
  <c r="AB317" i="2"/>
  <c r="AB316" i="2"/>
  <c r="AB315" i="2"/>
  <c r="AB314" i="2"/>
  <c r="AB313" i="2"/>
  <c r="AB312" i="2"/>
  <c r="AB311" i="2"/>
  <c r="AB310" i="2"/>
  <c r="AB309" i="2"/>
  <c r="AB308" i="2"/>
  <c r="AB307" i="2"/>
  <c r="AB306" i="2"/>
  <c r="AB305" i="2"/>
  <c r="AB304" i="2"/>
  <c r="AB303" i="2"/>
  <c r="AB302" i="2"/>
  <c r="AB301" i="2"/>
  <c r="AB300" i="2"/>
  <c r="AB299" i="2"/>
  <c r="AB298" i="2"/>
  <c r="AB297" i="2"/>
  <c r="AB296" i="2"/>
  <c r="AB295" i="2"/>
  <c r="AB294" i="2"/>
  <c r="AB293" i="2"/>
  <c r="AB292" i="2"/>
  <c r="AB291" i="2"/>
  <c r="AB290" i="2"/>
  <c r="AB289" i="2"/>
  <c r="AB288" i="2"/>
  <c r="AB287" i="2"/>
  <c r="AB286" i="2"/>
  <c r="AB285" i="2"/>
  <c r="AB284" i="2"/>
  <c r="AB283" i="2"/>
  <c r="AB282" i="2"/>
  <c r="AB281" i="2"/>
  <c r="AB280" i="2"/>
  <c r="AB279" i="2"/>
  <c r="AB278" i="2"/>
  <c r="AB277" i="2"/>
  <c r="AB276" i="2"/>
  <c r="AB275" i="2"/>
  <c r="AB274" i="2"/>
  <c r="AB273" i="2"/>
  <c r="AB272" i="2"/>
  <c r="AB271" i="2"/>
  <c r="AB270" i="2"/>
  <c r="AB269" i="2"/>
  <c r="AB268" i="2"/>
  <c r="AB267" i="2"/>
  <c r="AB266" i="2"/>
  <c r="AB265" i="2"/>
  <c r="AB264" i="2"/>
  <c r="AB263" i="2"/>
  <c r="AB262" i="2"/>
  <c r="AB261" i="2"/>
  <c r="AB260" i="2"/>
  <c r="AB259" i="2"/>
  <c r="AB258" i="2"/>
  <c r="AB257" i="2"/>
  <c r="AB256" i="2"/>
  <c r="AB255" i="2"/>
  <c r="AB254" i="2"/>
  <c r="AB253" i="2"/>
  <c r="AB252" i="2"/>
  <c r="AB251" i="2"/>
  <c r="AB250" i="2"/>
  <c r="AB249" i="2"/>
  <c r="AB248" i="2"/>
  <c r="AB247" i="2"/>
  <c r="AB246" i="2"/>
  <c r="AB245" i="2"/>
  <c r="AB244" i="2"/>
  <c r="AB243" i="2"/>
  <c r="AB242" i="2"/>
  <c r="AB241" i="2"/>
  <c r="AB240" i="2"/>
  <c r="AB239" i="2"/>
  <c r="AB238" i="2"/>
  <c r="AB237" i="2"/>
  <c r="AB236" i="2"/>
  <c r="AB235" i="2"/>
  <c r="AB234" i="2"/>
  <c r="AB233" i="2"/>
  <c r="AB232" i="2"/>
  <c r="AB231" i="2"/>
  <c r="AB230" i="2"/>
  <c r="AB229" i="2"/>
  <c r="AB228" i="2"/>
  <c r="AB227" i="2"/>
  <c r="AB226" i="2"/>
  <c r="AB225" i="2"/>
  <c r="AB224" i="2"/>
  <c r="AB223" i="2"/>
  <c r="AB222" i="2"/>
  <c r="AB221" i="2"/>
  <c r="AB220" i="2"/>
  <c r="AB219" i="2"/>
  <c r="AB218" i="2"/>
  <c r="AB217" i="2"/>
  <c r="AB216" i="2"/>
  <c r="AB215" i="2"/>
  <c r="AB214" i="2"/>
  <c r="AB213" i="2"/>
  <c r="AB212" i="2"/>
  <c r="AB211" i="2"/>
  <c r="AB210" i="2"/>
  <c r="AB209" i="2"/>
  <c r="AB208" i="2"/>
  <c r="AB207" i="2"/>
  <c r="AB206" i="2"/>
  <c r="AB205" i="2"/>
  <c r="AB204" i="2"/>
  <c r="AB203" i="2"/>
  <c r="AB202" i="2"/>
  <c r="AB201" i="2"/>
  <c r="AB200" i="2"/>
  <c r="AB199" i="2"/>
  <c r="AB198" i="2"/>
  <c r="AB197" i="2"/>
  <c r="AB196" i="2"/>
  <c r="AB195" i="2"/>
  <c r="AB194" i="2"/>
  <c r="AB193" i="2"/>
  <c r="AB192" i="2"/>
  <c r="AB191" i="2"/>
  <c r="AB190" i="2"/>
  <c r="AB189" i="2"/>
  <c r="AB188" i="2"/>
  <c r="AB187" i="2"/>
  <c r="AB186" i="2"/>
  <c r="AB185" i="2"/>
  <c r="AB184" i="2"/>
  <c r="AB183" i="2"/>
  <c r="AB182" i="2"/>
  <c r="AB181" i="2"/>
  <c r="AB180" i="2"/>
  <c r="AB179" i="2"/>
  <c r="AB178" i="2"/>
  <c r="AB177" i="2"/>
  <c r="AB176" i="2"/>
  <c r="AB175" i="2"/>
  <c r="AB174" i="2"/>
  <c r="AB173" i="2"/>
  <c r="AB172" i="2"/>
  <c r="AB171" i="2"/>
  <c r="AB170" i="2"/>
  <c r="AB169" i="2"/>
  <c r="AB168" i="2"/>
  <c r="AB167" i="2"/>
  <c r="AB166" i="2"/>
  <c r="AB165" i="2"/>
  <c r="AB164" i="2"/>
  <c r="AB163" i="2"/>
  <c r="AB162" i="2"/>
  <c r="AB161" i="2"/>
  <c r="AB160" i="2"/>
  <c r="AB159" i="2"/>
  <c r="AB158" i="2"/>
  <c r="AB157" i="2"/>
  <c r="AB156" i="2"/>
  <c r="AB155" i="2"/>
  <c r="AB154" i="2"/>
  <c r="AB153" i="2"/>
  <c r="AB152" i="2"/>
  <c r="AB151" i="2"/>
  <c r="AB150" i="2"/>
  <c r="AB149" i="2"/>
  <c r="AB148" i="2"/>
  <c r="AB147" i="2"/>
  <c r="AB146" i="2"/>
  <c r="AB145" i="2"/>
  <c r="AB144" i="2"/>
  <c r="AB143" i="2"/>
  <c r="AB142" i="2"/>
  <c r="AB141" i="2"/>
  <c r="AB140" i="2"/>
  <c r="AB139" i="2"/>
  <c r="AB138" i="2"/>
  <c r="AB137" i="2"/>
  <c r="AB136" i="2"/>
  <c r="AB135" i="2"/>
  <c r="AB134" i="2"/>
  <c r="AB133" i="2"/>
  <c r="AB132" i="2"/>
  <c r="AB131" i="2"/>
  <c r="AB130" i="2"/>
  <c r="AB129" i="2"/>
  <c r="AB128" i="2"/>
  <c r="AB127" i="2"/>
  <c r="AB126" i="2"/>
  <c r="AB125" i="2"/>
  <c r="AB124" i="2"/>
  <c r="AB123" i="2"/>
  <c r="AB122" i="2"/>
  <c r="AB121" i="2"/>
  <c r="AB120" i="2"/>
  <c r="AB119" i="2"/>
  <c r="AB118" i="2"/>
  <c r="AB117" i="2"/>
  <c r="AB116" i="2"/>
  <c r="AB115" i="2"/>
  <c r="AB114" i="2"/>
  <c r="AB113" i="2"/>
  <c r="AB112" i="2"/>
  <c r="AB111" i="2"/>
  <c r="AB110" i="2"/>
  <c r="AB109" i="2"/>
  <c r="AB108" i="2"/>
  <c r="AB107" i="2"/>
  <c r="AB106" i="2"/>
  <c r="AB105" i="2"/>
  <c r="AB104" i="2"/>
  <c r="AB103" i="2"/>
  <c r="AB102" i="2"/>
  <c r="AB101" i="2"/>
  <c r="AB100" i="2"/>
  <c r="AB99" i="2"/>
  <c r="AB98" i="2"/>
  <c r="AB97" i="2"/>
  <c r="AB96" i="2"/>
  <c r="AB95" i="2"/>
  <c r="AB94" i="2"/>
  <c r="AB93" i="2"/>
  <c r="AB92" i="2"/>
  <c r="AB91" i="2"/>
  <c r="AB90" i="2"/>
  <c r="AB89" i="2"/>
  <c r="AB88" i="2"/>
  <c r="AB87" i="2"/>
  <c r="AB86" i="2"/>
  <c r="AB85" i="2"/>
  <c r="AB84" i="2"/>
  <c r="AB83" i="2"/>
  <c r="AB82" i="2"/>
  <c r="AB81" i="2"/>
  <c r="AB80" i="2"/>
  <c r="AB79" i="2"/>
  <c r="AB78" i="2"/>
  <c r="AB77" i="2"/>
  <c r="AB76" i="2"/>
  <c r="AB75" i="2"/>
  <c r="AB74" i="2"/>
  <c r="AB73" i="2"/>
  <c r="AB72" i="2"/>
  <c r="AB71" i="2"/>
  <c r="AB70" i="2"/>
  <c r="AB69" i="2"/>
  <c r="AB68" i="2"/>
  <c r="AB67" i="2"/>
  <c r="AB66" i="2"/>
  <c r="AB65" i="2"/>
  <c r="AB64" i="2"/>
  <c r="AB63" i="2"/>
  <c r="AB62" i="2"/>
  <c r="AB61" i="2"/>
  <c r="AB60" i="2"/>
  <c r="AB59" i="2"/>
  <c r="AB58" i="2"/>
  <c r="AB57" i="2"/>
  <c r="AB56" i="2"/>
  <c r="AB55" i="2"/>
  <c r="AB54" i="2"/>
  <c r="AB53" i="2"/>
  <c r="AB52" i="2"/>
  <c r="AB51" i="2"/>
  <c r="AB50" i="2"/>
  <c r="AB49" i="2"/>
  <c r="AB48" i="2"/>
  <c r="AB47" i="2"/>
  <c r="AB46" i="2"/>
  <c r="AB45" i="2"/>
  <c r="AB44" i="2"/>
  <c r="AB43" i="2"/>
  <c r="AB42" i="2"/>
  <c r="AB41" i="2"/>
  <c r="AB40" i="2"/>
  <c r="AB39" i="2"/>
  <c r="AB38" i="2"/>
  <c r="AB37" i="2"/>
  <c r="AB36" i="2"/>
  <c r="AB35" i="2"/>
  <c r="AB34" i="2"/>
  <c r="AB33" i="2"/>
  <c r="AB32" i="2"/>
  <c r="AB31" i="2"/>
  <c r="AB30" i="2"/>
  <c r="AB29" i="2"/>
  <c r="AB28" i="2"/>
  <c r="AB27" i="2"/>
  <c r="AB26" i="2"/>
  <c r="AB25" i="2"/>
  <c r="AB24" i="2"/>
  <c r="AB23" i="2"/>
  <c r="AB22" i="2"/>
  <c r="AB21" i="2"/>
  <c r="AB20" i="2"/>
  <c r="AB19" i="2"/>
  <c r="AB18" i="2"/>
  <c r="AB17" i="2"/>
  <c r="AB16" i="2"/>
  <c r="AB15" i="2"/>
  <c r="AB14" i="2"/>
  <c r="AB13" i="2"/>
  <c r="AB12" i="2"/>
  <c r="AB11" i="2"/>
  <c r="AB10" i="2"/>
  <c r="AB9" i="2"/>
  <c r="AB8" i="2"/>
  <c r="AB7" i="2"/>
  <c r="AB6" i="2"/>
  <c r="AB5" i="2"/>
  <c r="AE321" i="2"/>
  <c r="AE217" i="2"/>
  <c r="AE113" i="2"/>
  <c r="AF321" i="2"/>
  <c r="AF217" i="2"/>
  <c r="AF113" i="2"/>
  <c r="AE320" i="2"/>
  <c r="AE216" i="2"/>
  <c r="AE112" i="2"/>
  <c r="AF320" i="2"/>
  <c r="AF216" i="2"/>
  <c r="AF112" i="2"/>
  <c r="AE319" i="2"/>
  <c r="AE215" i="2"/>
  <c r="AE111" i="2"/>
  <c r="AF319" i="2"/>
  <c r="AF215" i="2"/>
  <c r="AF111" i="2"/>
  <c r="AE318" i="2"/>
  <c r="AE214" i="2"/>
  <c r="AE110" i="2"/>
  <c r="AF318" i="2"/>
  <c r="AF214" i="2"/>
  <c r="AF110" i="2"/>
  <c r="AE317" i="2"/>
  <c r="AE213" i="2"/>
  <c r="AE109" i="2"/>
  <c r="AF317" i="2"/>
  <c r="AF213" i="2"/>
  <c r="AF109" i="2"/>
  <c r="AE316" i="2"/>
  <c r="AE212" i="2"/>
  <c r="AE108" i="2"/>
  <c r="AF316" i="2"/>
  <c r="AF212" i="2"/>
  <c r="AF108" i="2"/>
  <c r="AE315" i="2"/>
  <c r="AE211" i="2"/>
  <c r="AE107" i="2"/>
  <c r="AF315" i="2"/>
  <c r="AF211" i="2"/>
  <c r="AF107" i="2"/>
  <c r="AE314" i="2"/>
  <c r="AE210" i="2"/>
  <c r="AE106" i="2"/>
  <c r="AF314" i="2"/>
  <c r="AF210" i="2"/>
  <c r="AF106" i="2"/>
  <c r="AE313" i="2"/>
  <c r="AE209" i="2"/>
  <c r="AE105" i="2"/>
  <c r="AF313" i="2"/>
  <c r="AF209" i="2"/>
  <c r="AF105" i="2"/>
  <c r="AE312" i="2"/>
  <c r="AE208" i="2"/>
  <c r="AE104" i="2"/>
  <c r="AF312" i="2"/>
  <c r="AF208" i="2"/>
  <c r="AF104" i="2"/>
  <c r="AE311" i="2"/>
  <c r="AE207" i="2"/>
  <c r="AE103" i="2"/>
  <c r="AF311" i="2"/>
  <c r="AF207" i="2"/>
  <c r="AF103" i="2"/>
  <c r="AE310" i="2"/>
  <c r="AE206" i="2"/>
  <c r="AE102" i="2"/>
  <c r="AF310" i="2"/>
  <c r="AF206" i="2"/>
  <c r="AF102" i="2"/>
  <c r="AE309" i="2"/>
  <c r="AE205" i="2"/>
  <c r="AE101" i="2"/>
  <c r="AF309" i="2"/>
  <c r="AF205" i="2"/>
  <c r="AF101" i="2"/>
  <c r="AE308" i="2"/>
  <c r="AE204" i="2"/>
  <c r="AE100" i="2"/>
  <c r="AF308" i="2"/>
  <c r="AF204" i="2"/>
  <c r="AF100" i="2"/>
  <c r="AE307" i="2"/>
  <c r="AE203" i="2"/>
  <c r="AE99" i="2"/>
  <c r="AF307" i="2"/>
  <c r="AF203" i="2"/>
  <c r="AF99" i="2"/>
  <c r="AE306" i="2"/>
  <c r="AE202" i="2"/>
  <c r="AE98" i="2"/>
  <c r="AF306" i="2"/>
  <c r="AF202" i="2"/>
  <c r="AF98" i="2"/>
  <c r="AE305" i="2"/>
  <c r="AE201" i="2"/>
  <c r="AE97" i="2"/>
  <c r="AF305" i="2"/>
  <c r="AF201" i="2"/>
  <c r="AF97" i="2"/>
  <c r="AE304" i="2"/>
  <c r="AE200" i="2"/>
  <c r="AE96" i="2"/>
  <c r="AF304" i="2"/>
  <c r="AF200" i="2"/>
  <c r="AF96" i="2"/>
  <c r="AE303" i="2"/>
  <c r="AE199" i="2"/>
  <c r="AE95" i="2"/>
  <c r="AF303" i="2"/>
  <c r="AF199" i="2"/>
  <c r="AF95" i="2"/>
  <c r="AE302" i="2"/>
  <c r="AE198" i="2"/>
  <c r="AE94" i="2"/>
  <c r="AF302" i="2"/>
  <c r="AF198" i="2"/>
  <c r="AF94" i="2"/>
  <c r="AE301" i="2"/>
  <c r="AE197" i="2"/>
  <c r="AE93" i="2"/>
  <c r="AF301" i="2"/>
  <c r="AF197" i="2"/>
  <c r="AF93" i="2"/>
  <c r="AE300" i="2"/>
  <c r="AE196" i="2"/>
  <c r="AE92" i="2"/>
  <c r="AF300" i="2"/>
  <c r="AF196" i="2"/>
  <c r="AF92" i="2"/>
  <c r="AE299" i="2"/>
  <c r="AE195" i="2"/>
  <c r="AE91" i="2"/>
  <c r="AF299" i="2"/>
  <c r="AF195" i="2"/>
  <c r="AF91" i="2"/>
  <c r="AE298" i="2"/>
  <c r="AE194" i="2"/>
  <c r="AE90" i="2"/>
  <c r="AF298" i="2"/>
  <c r="AF194" i="2"/>
  <c r="AF90" i="2"/>
  <c r="AE297" i="2"/>
  <c r="AE193" i="2"/>
  <c r="AE89" i="2"/>
  <c r="AF297" i="2"/>
  <c r="AF193" i="2"/>
  <c r="AF89" i="2"/>
  <c r="AE296" i="2"/>
  <c r="AE192" i="2"/>
  <c r="AE88" i="2"/>
  <c r="AF296" i="2"/>
  <c r="AF192" i="2"/>
  <c r="AF88" i="2"/>
  <c r="AE295" i="2"/>
  <c r="AE191" i="2"/>
  <c r="AE87" i="2"/>
  <c r="AF295" i="2"/>
  <c r="AF191" i="2"/>
  <c r="AF87" i="2"/>
  <c r="AE294" i="2"/>
  <c r="AE190" i="2"/>
  <c r="AE86" i="2"/>
  <c r="AF294" i="2"/>
  <c r="AF190" i="2"/>
  <c r="AF86" i="2"/>
  <c r="AE293" i="2"/>
  <c r="AE189" i="2"/>
  <c r="AE85" i="2"/>
  <c r="AF293" i="2"/>
  <c r="AF189" i="2"/>
  <c r="AF85" i="2"/>
  <c r="AE292" i="2"/>
  <c r="AE188" i="2"/>
  <c r="AE84" i="2"/>
  <c r="AF292" i="2"/>
  <c r="AF188" i="2"/>
  <c r="AF84" i="2"/>
  <c r="AE291" i="2"/>
  <c r="AE187" i="2"/>
  <c r="AE83" i="2"/>
  <c r="AF291" i="2"/>
  <c r="AF187" i="2"/>
  <c r="AF83" i="2"/>
  <c r="AE290" i="2"/>
  <c r="AE186" i="2"/>
  <c r="AE82" i="2"/>
  <c r="AF290" i="2"/>
  <c r="AF186" i="2"/>
  <c r="AF82" i="2"/>
  <c r="AE289" i="2"/>
  <c r="AE185" i="2"/>
  <c r="AE81" i="2"/>
  <c r="AF289" i="2"/>
  <c r="AF185" i="2"/>
  <c r="AF81" i="2"/>
  <c r="AE288" i="2"/>
  <c r="AE184" i="2"/>
  <c r="AE80" i="2"/>
  <c r="AF288" i="2"/>
  <c r="AF184" i="2"/>
  <c r="AF80" i="2"/>
  <c r="AE287" i="2"/>
  <c r="AE183" i="2"/>
  <c r="AE79" i="2"/>
  <c r="AF287" i="2"/>
  <c r="AF183" i="2"/>
  <c r="AF79" i="2"/>
  <c r="AE286" i="2"/>
  <c r="AE182" i="2"/>
  <c r="AE78" i="2"/>
  <c r="AF286" i="2"/>
  <c r="AF182" i="2"/>
  <c r="AF78" i="2"/>
  <c r="AE285" i="2"/>
  <c r="AE181" i="2"/>
  <c r="AE77" i="2"/>
  <c r="AF285" i="2"/>
  <c r="AF181" i="2"/>
  <c r="AF77" i="2"/>
  <c r="AE284" i="2"/>
  <c r="AE180" i="2"/>
  <c r="AE76" i="2"/>
  <c r="AF284" i="2"/>
  <c r="AF180" i="2"/>
  <c r="AF76" i="2"/>
  <c r="AE283" i="2"/>
  <c r="AE179" i="2"/>
  <c r="AE75" i="2"/>
  <c r="AF283" i="2"/>
  <c r="AF179" i="2"/>
  <c r="AF75" i="2"/>
  <c r="AE282" i="2"/>
  <c r="AE178" i="2"/>
  <c r="AE74" i="2"/>
  <c r="AF282" i="2"/>
  <c r="AF178" i="2"/>
  <c r="AF74" i="2"/>
  <c r="AE281" i="2"/>
  <c r="AE177" i="2"/>
  <c r="AE73" i="2"/>
  <c r="AF281" i="2"/>
  <c r="AF177" i="2"/>
  <c r="AF73" i="2"/>
  <c r="AE280" i="2"/>
  <c r="AE176" i="2"/>
  <c r="AE72" i="2"/>
  <c r="AF280" i="2"/>
  <c r="AF176" i="2"/>
  <c r="AF72" i="2"/>
  <c r="AE279" i="2"/>
  <c r="AE175" i="2"/>
  <c r="AE71" i="2"/>
  <c r="AF279" i="2"/>
  <c r="AF175" i="2"/>
  <c r="AF71" i="2"/>
  <c r="AE278" i="2"/>
  <c r="AE174" i="2"/>
  <c r="AE70" i="2"/>
  <c r="AF278" i="2"/>
  <c r="AF174" i="2"/>
  <c r="AF70" i="2"/>
  <c r="AE277" i="2"/>
  <c r="AE173" i="2"/>
  <c r="AE69" i="2"/>
  <c r="AF277" i="2"/>
  <c r="AF173" i="2"/>
  <c r="AF69" i="2"/>
  <c r="AE276" i="2"/>
  <c r="AE172" i="2"/>
  <c r="AE68" i="2"/>
  <c r="AF276" i="2"/>
  <c r="AF172" i="2"/>
  <c r="AF68" i="2"/>
  <c r="AE275" i="2"/>
  <c r="AE171" i="2"/>
  <c r="AE67" i="2"/>
  <c r="AF275" i="2"/>
  <c r="AF171" i="2"/>
  <c r="AF67" i="2"/>
  <c r="AE274" i="2"/>
  <c r="AE170" i="2"/>
  <c r="AE66" i="2"/>
  <c r="AF274" i="2"/>
  <c r="AF170" i="2"/>
  <c r="AF66" i="2"/>
  <c r="AE273" i="2"/>
  <c r="AE169" i="2"/>
  <c r="AE65" i="2"/>
  <c r="AF273" i="2"/>
  <c r="AF169" i="2"/>
  <c r="AF65" i="2"/>
  <c r="AE272" i="2"/>
  <c r="AE168" i="2"/>
  <c r="AE64" i="2"/>
  <c r="AF272" i="2"/>
  <c r="AF168" i="2"/>
  <c r="AF64" i="2"/>
  <c r="AE271" i="2"/>
  <c r="AE167" i="2"/>
  <c r="AE63" i="2"/>
  <c r="AF271" i="2"/>
  <c r="AF167" i="2"/>
  <c r="AF63" i="2"/>
  <c r="AE270" i="2"/>
  <c r="AE166" i="2"/>
  <c r="AE62" i="2"/>
  <c r="AF270" i="2"/>
  <c r="AF166" i="2"/>
  <c r="AF62" i="2"/>
  <c r="AE269" i="2"/>
  <c r="AE165" i="2"/>
  <c r="AE61" i="2"/>
  <c r="AF269" i="2"/>
  <c r="AF165" i="2"/>
  <c r="AF61" i="2"/>
  <c r="AE268" i="2"/>
  <c r="AE164" i="2"/>
  <c r="AE60" i="2"/>
  <c r="AF268" i="2"/>
  <c r="AF164" i="2"/>
  <c r="AF60" i="2"/>
  <c r="AE267" i="2"/>
  <c r="AE163" i="2"/>
  <c r="AE59" i="2"/>
  <c r="AF267" i="2"/>
  <c r="AF163" i="2"/>
  <c r="AF59" i="2"/>
  <c r="AE266" i="2"/>
  <c r="AE162" i="2"/>
  <c r="AE58" i="2"/>
  <c r="AF266" i="2"/>
  <c r="AF162" i="2"/>
  <c r="AF58" i="2"/>
  <c r="AE265" i="2"/>
  <c r="AE161" i="2"/>
  <c r="AE57" i="2"/>
  <c r="AF265" i="2"/>
  <c r="AF161" i="2"/>
  <c r="AF57" i="2"/>
  <c r="AE264" i="2"/>
  <c r="AE160" i="2"/>
  <c r="AE56" i="2"/>
  <c r="AF264" i="2"/>
  <c r="AF160" i="2"/>
  <c r="AF56" i="2"/>
  <c r="AE263" i="2"/>
  <c r="AE159" i="2"/>
  <c r="AE55" i="2"/>
  <c r="AF263" i="2"/>
  <c r="AF159" i="2"/>
  <c r="AF55" i="2"/>
  <c r="AE262" i="2"/>
  <c r="AE158" i="2"/>
  <c r="AE54" i="2"/>
  <c r="AF262" i="2"/>
  <c r="AF158" i="2"/>
  <c r="AF54" i="2"/>
  <c r="AE261" i="2"/>
  <c r="AE157" i="2"/>
  <c r="AE53" i="2"/>
  <c r="AF261" i="2"/>
  <c r="AF157" i="2"/>
  <c r="AF53" i="2"/>
  <c r="AE260" i="2"/>
  <c r="AE156" i="2"/>
  <c r="AE52" i="2"/>
  <c r="AF260" i="2"/>
  <c r="AF156" i="2"/>
  <c r="AF52" i="2"/>
  <c r="AE259" i="2"/>
  <c r="AE155" i="2"/>
  <c r="AE51" i="2"/>
  <c r="AF259" i="2"/>
  <c r="AF155" i="2"/>
  <c r="AF51" i="2"/>
  <c r="AE258" i="2"/>
  <c r="AE154" i="2"/>
  <c r="AE50" i="2"/>
  <c r="AF258" i="2"/>
  <c r="AF154" i="2"/>
  <c r="AF50" i="2"/>
  <c r="AE257" i="2"/>
  <c r="AE153" i="2"/>
  <c r="AE49" i="2"/>
  <c r="AF257" i="2"/>
  <c r="AF153" i="2"/>
  <c r="AF49" i="2"/>
  <c r="AE256" i="2"/>
  <c r="AE152" i="2"/>
  <c r="AE48" i="2"/>
  <c r="AF256" i="2"/>
  <c r="AF152" i="2"/>
  <c r="AF48" i="2"/>
  <c r="AE255" i="2"/>
  <c r="AE151" i="2"/>
  <c r="AE47" i="2"/>
  <c r="AF255" i="2"/>
  <c r="AF151" i="2"/>
  <c r="AF47" i="2"/>
  <c r="AE254" i="2"/>
  <c r="AE150" i="2"/>
  <c r="AE46" i="2"/>
  <c r="AF254" i="2"/>
  <c r="AF150" i="2"/>
  <c r="AF46" i="2"/>
  <c r="AE253" i="2"/>
  <c r="AE149" i="2"/>
  <c r="AE45" i="2"/>
  <c r="AF253" i="2"/>
  <c r="AF149" i="2"/>
  <c r="AF45" i="2"/>
  <c r="AE252" i="2"/>
  <c r="AE148" i="2"/>
  <c r="AE44" i="2"/>
  <c r="AF252" i="2"/>
  <c r="AF148" i="2"/>
  <c r="AF44" i="2"/>
  <c r="AE251" i="2"/>
  <c r="AE147" i="2"/>
  <c r="AE43" i="2"/>
  <c r="AF251" i="2"/>
  <c r="AF147" i="2"/>
  <c r="AF43" i="2"/>
  <c r="AE250" i="2"/>
  <c r="AE146" i="2"/>
  <c r="AE42" i="2"/>
  <c r="AF250" i="2"/>
  <c r="AF146" i="2"/>
  <c r="AF42" i="2"/>
  <c r="AE249" i="2"/>
  <c r="AE145" i="2"/>
  <c r="AE41" i="2"/>
  <c r="AF249" i="2"/>
  <c r="AF145" i="2"/>
  <c r="AF41" i="2"/>
  <c r="AE248" i="2"/>
  <c r="AE144" i="2"/>
  <c r="AE40" i="2"/>
  <c r="AF248" i="2"/>
  <c r="AF144" i="2"/>
  <c r="AF40" i="2"/>
  <c r="AE247" i="2"/>
  <c r="AE143" i="2"/>
  <c r="AE39" i="2"/>
  <c r="AF247" i="2"/>
  <c r="AF143" i="2"/>
  <c r="AF39" i="2"/>
  <c r="AE246" i="2"/>
  <c r="AE142" i="2"/>
  <c r="AE38" i="2"/>
  <c r="AF246" i="2"/>
  <c r="AF142" i="2"/>
  <c r="AF38" i="2"/>
  <c r="AE245" i="2"/>
  <c r="AE141" i="2"/>
  <c r="AE37" i="2"/>
  <c r="AF245" i="2"/>
  <c r="AF141" i="2"/>
  <c r="AF37" i="2"/>
  <c r="AE244" i="2"/>
  <c r="AE140" i="2"/>
  <c r="AE36" i="2"/>
  <c r="AF244" i="2"/>
  <c r="AF140" i="2"/>
  <c r="AF36" i="2"/>
  <c r="AE243" i="2"/>
  <c r="AE139" i="2"/>
  <c r="AE35" i="2"/>
  <c r="AF243" i="2"/>
  <c r="AF139" i="2"/>
  <c r="AF35" i="2"/>
  <c r="AE242" i="2"/>
  <c r="AE138" i="2"/>
  <c r="AE34" i="2"/>
  <c r="AF242" i="2"/>
  <c r="AF138" i="2"/>
  <c r="AF34" i="2"/>
  <c r="AE241" i="2"/>
  <c r="AE137" i="2"/>
  <c r="AE33" i="2"/>
  <c r="AF241" i="2"/>
  <c r="AF137" i="2"/>
  <c r="AF33" i="2"/>
  <c r="AE240" i="2"/>
  <c r="AE136" i="2"/>
  <c r="AE32" i="2"/>
  <c r="AF240" i="2"/>
  <c r="AF136" i="2"/>
  <c r="AF32" i="2"/>
  <c r="AE239" i="2"/>
  <c r="AE135" i="2"/>
  <c r="AE31" i="2"/>
  <c r="AF239" i="2"/>
  <c r="AF135" i="2"/>
  <c r="AF31" i="2"/>
  <c r="AE238" i="2"/>
  <c r="AE134" i="2"/>
  <c r="AE30" i="2"/>
  <c r="AF238" i="2"/>
  <c r="AF134" i="2"/>
  <c r="AF30" i="2"/>
  <c r="AE237" i="2"/>
  <c r="AE133" i="2"/>
  <c r="AE29" i="2"/>
  <c r="AF237" i="2"/>
  <c r="AF133" i="2"/>
  <c r="AF29" i="2"/>
  <c r="AE236" i="2"/>
  <c r="AE132" i="2"/>
  <c r="AE28" i="2"/>
  <c r="AF236" i="2"/>
  <c r="AF132" i="2"/>
  <c r="AF28" i="2"/>
  <c r="AE235" i="2"/>
  <c r="AE131" i="2"/>
  <c r="AE27" i="2"/>
  <c r="AF235" i="2"/>
  <c r="AF131" i="2"/>
  <c r="AF27" i="2"/>
  <c r="AE234" i="2"/>
  <c r="AE130" i="2"/>
  <c r="AE26" i="2"/>
  <c r="AF234" i="2"/>
  <c r="AF130" i="2"/>
  <c r="AF26" i="2"/>
  <c r="AE233" i="2"/>
  <c r="AE129" i="2"/>
  <c r="AE25" i="2"/>
  <c r="AF233" i="2"/>
  <c r="AF129" i="2"/>
  <c r="AF25" i="2"/>
  <c r="AE232" i="2"/>
  <c r="AE128" i="2"/>
  <c r="AE24" i="2"/>
  <c r="AF232" i="2"/>
  <c r="AF128" i="2"/>
  <c r="AF24" i="2"/>
  <c r="AC3" i="2"/>
  <c r="AK3" i="2"/>
  <c r="AJ3" i="2"/>
  <c r="AI3" i="2"/>
  <c r="AH3" i="2"/>
  <c r="AG3" i="2"/>
  <c r="AF3" i="2"/>
  <c r="AE3" i="2"/>
  <c r="AB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 authorId="0" shapeId="0" xr:uid="{E884B757-062F-954B-A1AB-C597DE6A867D}">
      <text>
        <r>
          <rPr>
            <sz val="10"/>
            <color rgb="FF000000"/>
            <rFont val="Tahoma"/>
            <family val="2"/>
          </rPr>
          <t>HELP Comment:
1. To create new projects, press the +Vector button without selecting any project in the project list.
2. To load an existing project, select a project from the list and then press +Vector
3. To export a new project, press the Get Code button. The code will be saved on your PC in the same directory where this file is located.
If necessary, use this comment to create your own HELP comment for your project. To do this, simply replace this text with your own (Right Click, Edit Comment) and avoid special characters.
After pressing Get Code, your comment will be updated and saved in the same txt file as your project and will be uploaded after the project appears in ScienSolar.To include the new project in ScienSolar, perform the following steps:
a) Open the txt file where the project was saved; b) copy all the contents of the file and paste it in the VBA Editor of the Excel file ScienSolar; c) add the project name and number to the list on the CONFIG sheet; d) Verify that the number is correlative and that it agrees with the project header number, if not modify it in the header or in the list as necessary.
Right click to delete or edit this comment.
For documentation on ScienSolar, please visit www.sciensolar.com. ScienSolar was designed for 3D physics modeling in MS Excel.It is normal that for some projects it takes time to load it in the sheet, it depends on the number of objects in your project and the performance of your PC.</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49" authorId="0" shapeId="0" xr:uid="{08AC425F-E7A5-A144-8E40-01389C53E8E6}">
      <text>
        <r>
          <rPr>
            <sz val="10"/>
            <color rgb="FF000000"/>
            <rFont val="Tahoma"/>
            <family val="2"/>
          </rPr>
          <t>REFRESH BUTON (Useful when adding new models)
ENGLISH: For this button to work properly, you must check the box Trust access to the VBA project object model, in Excel, under Options -&gt; Trust Center -&gt; Macro Settings.
SPANISH: Para que este botón funcione correctamente, debe marcar la casilla Confiar en el acceso al modelo de objetos del proyecto VBA, en Excel, en Opciones --&gt; Centro de confianza --&gt; Configuración de macros.</t>
        </r>
      </text>
    </comment>
  </commentList>
</comments>
</file>

<file path=xl/sharedStrings.xml><?xml version="1.0" encoding="utf-8"?>
<sst xmlns="http://schemas.openxmlformats.org/spreadsheetml/2006/main" count="1230" uniqueCount="1047">
  <si>
    <t>HELP MENU</t>
  </si>
  <si>
    <t>Pressing the ? button displays the help text for the active cell.</t>
  </si>
  <si>
    <t>Al presionar el botón ? se muestra el texto de ayuda para la celda activa.</t>
  </si>
  <si>
    <t>ADDRESS</t>
  </si>
  <si>
    <t>ZONE1</t>
  </si>
  <si>
    <t>ZONE2</t>
  </si>
  <si>
    <t>ZONE3</t>
  </si>
  <si>
    <t>ZONE4</t>
  </si>
  <si>
    <t>ZONE5</t>
  </si>
  <si>
    <t>HELP on a CELL: select it and press the question button. HELP on a BUTTON: select the cell under the button. To hide press the button located at F3. For quick help on a particular project, place the cursor over the HELP cell.</t>
  </si>
  <si>
    <t>AYUDA sobre una CELDA: selecciónela y oprima el botón de interrogación. AYUDA sobre un BOTÓN: seleccione la celda bajo el botón.Para ocultar presione el botón ubicado en F3. Para ayuda rápida sobre un proyecto en particular coloque el cursor sobre la celda HELP.</t>
  </si>
  <si>
    <t xml:space="preserve">Celda libre, no está ligada a ninguna función especial de ScienSolar.  </t>
  </si>
  <si>
    <t>A1</t>
  </si>
  <si>
    <t>B1</t>
  </si>
  <si>
    <t>C1</t>
  </si>
  <si>
    <t>A2</t>
  </si>
  <si>
    <t>B2</t>
  </si>
  <si>
    <t>C2</t>
  </si>
  <si>
    <t>A3</t>
  </si>
  <si>
    <t>B3</t>
  </si>
  <si>
    <t>C3</t>
  </si>
  <si>
    <t>A4</t>
  </si>
  <si>
    <t>B4</t>
  </si>
  <si>
    <t>C4</t>
  </si>
  <si>
    <t>A5</t>
  </si>
  <si>
    <t>B5</t>
  </si>
  <si>
    <t>C5</t>
  </si>
  <si>
    <t>A6</t>
  </si>
  <si>
    <t>B6</t>
  </si>
  <si>
    <t>C6</t>
  </si>
  <si>
    <t>A7</t>
  </si>
  <si>
    <t>B7</t>
  </si>
  <si>
    <t>C7</t>
  </si>
  <si>
    <t>A8</t>
  </si>
  <si>
    <t>B8</t>
  </si>
  <si>
    <t>C8</t>
  </si>
  <si>
    <t>A9</t>
  </si>
  <si>
    <t>B9</t>
  </si>
  <si>
    <t>C9</t>
  </si>
  <si>
    <t>A10</t>
  </si>
  <si>
    <t>B10</t>
  </si>
  <si>
    <t>C10</t>
  </si>
  <si>
    <t>A11</t>
  </si>
  <si>
    <t>B11</t>
  </si>
  <si>
    <t>C11</t>
  </si>
  <si>
    <t>A12</t>
  </si>
  <si>
    <t>B12</t>
  </si>
  <si>
    <t>C12</t>
  </si>
  <si>
    <t>A13</t>
  </si>
  <si>
    <t>B13</t>
  </si>
  <si>
    <t>C13</t>
  </si>
  <si>
    <t>A14</t>
  </si>
  <si>
    <t>B14</t>
  </si>
  <si>
    <t>C14</t>
  </si>
  <si>
    <t>A15</t>
  </si>
  <si>
    <t>B15</t>
  </si>
  <si>
    <t>C15</t>
  </si>
  <si>
    <t>A16</t>
  </si>
  <si>
    <t>B16</t>
  </si>
  <si>
    <t>C16</t>
  </si>
  <si>
    <t>A17</t>
  </si>
  <si>
    <t>B17</t>
  </si>
  <si>
    <t>C17</t>
  </si>
  <si>
    <t>A18</t>
  </si>
  <si>
    <t>B18</t>
  </si>
  <si>
    <t>C18</t>
  </si>
  <si>
    <t>A19</t>
  </si>
  <si>
    <t>B19</t>
  </si>
  <si>
    <t>C19</t>
  </si>
  <si>
    <t>A20</t>
  </si>
  <si>
    <t>B20</t>
  </si>
  <si>
    <t>C20</t>
  </si>
  <si>
    <t>A21</t>
  </si>
  <si>
    <t>B21</t>
  </si>
  <si>
    <t>C21</t>
  </si>
  <si>
    <t>A22</t>
  </si>
  <si>
    <t>B22</t>
  </si>
  <si>
    <t>C22</t>
  </si>
  <si>
    <t>A23</t>
  </si>
  <si>
    <t>B23</t>
  </si>
  <si>
    <t>C23</t>
  </si>
  <si>
    <t>A24</t>
  </si>
  <si>
    <t>B24</t>
  </si>
  <si>
    <t>C24</t>
  </si>
  <si>
    <t>A25</t>
  </si>
  <si>
    <t>B25</t>
  </si>
  <si>
    <t>C25</t>
  </si>
  <si>
    <t>A26</t>
  </si>
  <si>
    <t>B26</t>
  </si>
  <si>
    <t>C26</t>
  </si>
  <si>
    <t>A27</t>
  </si>
  <si>
    <t>B27</t>
  </si>
  <si>
    <t>C27</t>
  </si>
  <si>
    <t>A28</t>
  </si>
  <si>
    <t>B28</t>
  </si>
  <si>
    <t>C28</t>
  </si>
  <si>
    <t>A29</t>
  </si>
  <si>
    <t>B29</t>
  </si>
  <si>
    <t>C29</t>
  </si>
  <si>
    <t>A30</t>
  </si>
  <si>
    <t>B30</t>
  </si>
  <si>
    <t>C30</t>
  </si>
  <si>
    <t>A31</t>
  </si>
  <si>
    <t>B31</t>
  </si>
  <si>
    <t>C31</t>
  </si>
  <si>
    <t>A32</t>
  </si>
  <si>
    <t>B32</t>
  </si>
  <si>
    <t>C32</t>
  </si>
  <si>
    <t>A33</t>
  </si>
  <si>
    <t>B33</t>
  </si>
  <si>
    <t>C33</t>
  </si>
  <si>
    <t>A34</t>
  </si>
  <si>
    <t>B34</t>
  </si>
  <si>
    <t>C34</t>
  </si>
  <si>
    <t>A35</t>
  </si>
  <si>
    <t>B35</t>
  </si>
  <si>
    <t>C35</t>
  </si>
  <si>
    <t>A36</t>
  </si>
  <si>
    <t>B36</t>
  </si>
  <si>
    <t>C36</t>
  </si>
  <si>
    <t>A37</t>
  </si>
  <si>
    <t>B37</t>
  </si>
  <si>
    <t>C37</t>
  </si>
  <si>
    <t>A38</t>
  </si>
  <si>
    <t>B38</t>
  </si>
  <si>
    <t>C38</t>
  </si>
  <si>
    <t>A39</t>
  </si>
  <si>
    <t>B39</t>
  </si>
  <si>
    <t>C39</t>
  </si>
  <si>
    <t>A40</t>
  </si>
  <si>
    <t>B40</t>
  </si>
  <si>
    <t>C40</t>
  </si>
  <si>
    <t>A41</t>
  </si>
  <si>
    <t>B41</t>
  </si>
  <si>
    <t>C41</t>
  </si>
  <si>
    <t>A42</t>
  </si>
  <si>
    <t>B42</t>
  </si>
  <si>
    <t>C42</t>
  </si>
  <si>
    <t>A43</t>
  </si>
  <si>
    <t>B43</t>
  </si>
  <si>
    <t>C43</t>
  </si>
  <si>
    <t>A44</t>
  </si>
  <si>
    <t>B44</t>
  </si>
  <si>
    <t>C44</t>
  </si>
  <si>
    <t>A45</t>
  </si>
  <si>
    <t>B45</t>
  </si>
  <si>
    <t>C45</t>
  </si>
  <si>
    <t>A46</t>
  </si>
  <si>
    <t>B46</t>
  </si>
  <si>
    <t>C46</t>
  </si>
  <si>
    <t>A47</t>
  </si>
  <si>
    <t>B47</t>
  </si>
  <si>
    <t>C47</t>
  </si>
  <si>
    <t>A48</t>
  </si>
  <si>
    <t>B48</t>
  </si>
  <si>
    <t>C48</t>
  </si>
  <si>
    <t>A49</t>
  </si>
  <si>
    <t>B49</t>
  </si>
  <si>
    <t>C49</t>
  </si>
  <si>
    <t>A50</t>
  </si>
  <si>
    <t>B50</t>
  </si>
  <si>
    <t>C50</t>
  </si>
  <si>
    <t>A51</t>
  </si>
  <si>
    <t>B51</t>
  </si>
  <si>
    <t>C51</t>
  </si>
  <si>
    <t>A52</t>
  </si>
  <si>
    <t>B52</t>
  </si>
  <si>
    <t>C52</t>
  </si>
  <si>
    <t>A53</t>
  </si>
  <si>
    <t>B53</t>
  </si>
  <si>
    <t>C53</t>
  </si>
  <si>
    <t>A54</t>
  </si>
  <si>
    <t>B54</t>
  </si>
  <si>
    <t>C54</t>
  </si>
  <si>
    <t>A55</t>
  </si>
  <si>
    <t>B55</t>
  </si>
  <si>
    <t>C55</t>
  </si>
  <si>
    <t>A56</t>
  </si>
  <si>
    <t>B56</t>
  </si>
  <si>
    <t>C56</t>
  </si>
  <si>
    <t>A57</t>
  </si>
  <si>
    <t>B57</t>
  </si>
  <si>
    <t>C57</t>
  </si>
  <si>
    <t>A58</t>
  </si>
  <si>
    <t>B58</t>
  </si>
  <si>
    <t>C58</t>
  </si>
  <si>
    <t>A59</t>
  </si>
  <si>
    <t>B59</t>
  </si>
  <si>
    <t>C59</t>
  </si>
  <si>
    <t>A60</t>
  </si>
  <si>
    <t>B60</t>
  </si>
  <si>
    <t>C60</t>
  </si>
  <si>
    <t>A61</t>
  </si>
  <si>
    <t>B61</t>
  </si>
  <si>
    <t>C61</t>
  </si>
  <si>
    <t>A62</t>
  </si>
  <si>
    <t>B62</t>
  </si>
  <si>
    <t>C62</t>
  </si>
  <si>
    <t>A63</t>
  </si>
  <si>
    <t>B63</t>
  </si>
  <si>
    <t>C63</t>
  </si>
  <si>
    <t>A64</t>
  </si>
  <si>
    <t>B64</t>
  </si>
  <si>
    <t>C64</t>
  </si>
  <si>
    <t>A65</t>
  </si>
  <si>
    <t>B65</t>
  </si>
  <si>
    <t>C65</t>
  </si>
  <si>
    <t>A66</t>
  </si>
  <si>
    <t>B66</t>
  </si>
  <si>
    <t>C66</t>
  </si>
  <si>
    <t>A67</t>
  </si>
  <si>
    <t>B67</t>
  </si>
  <si>
    <t>C67</t>
  </si>
  <si>
    <t>A68</t>
  </si>
  <si>
    <t>B68</t>
  </si>
  <si>
    <t>C68</t>
  </si>
  <si>
    <t>A69</t>
  </si>
  <si>
    <t>B69</t>
  </si>
  <si>
    <t>C69</t>
  </si>
  <si>
    <t>A70</t>
  </si>
  <si>
    <t>B70</t>
  </si>
  <si>
    <t>C70</t>
  </si>
  <si>
    <t>A71</t>
  </si>
  <si>
    <t>B71</t>
  </si>
  <si>
    <t>C71</t>
  </si>
  <si>
    <t>A72</t>
  </si>
  <si>
    <t>B72</t>
  </si>
  <si>
    <t>C72</t>
  </si>
  <si>
    <t>A73</t>
  </si>
  <si>
    <t>B73</t>
  </si>
  <si>
    <t>C73</t>
  </si>
  <si>
    <t>A74</t>
  </si>
  <si>
    <t>B74</t>
  </si>
  <si>
    <t>C74</t>
  </si>
  <si>
    <t>A75</t>
  </si>
  <si>
    <t>B75</t>
  </si>
  <si>
    <t>C75</t>
  </si>
  <si>
    <t>A76</t>
  </si>
  <si>
    <t>B76</t>
  </si>
  <si>
    <t>C76</t>
  </si>
  <si>
    <t>A77</t>
  </si>
  <si>
    <t>B77</t>
  </si>
  <si>
    <t>C77</t>
  </si>
  <si>
    <t>A78</t>
  </si>
  <si>
    <t>B78</t>
  </si>
  <si>
    <t>C78</t>
  </si>
  <si>
    <t>A79</t>
  </si>
  <si>
    <t>B79</t>
  </si>
  <si>
    <t>C79</t>
  </si>
  <si>
    <t>A80</t>
  </si>
  <si>
    <t>B80</t>
  </si>
  <si>
    <t>C80</t>
  </si>
  <si>
    <t>A81</t>
  </si>
  <si>
    <t>B81</t>
  </si>
  <si>
    <t>C81</t>
  </si>
  <si>
    <t>A82</t>
  </si>
  <si>
    <t>B82</t>
  </si>
  <si>
    <t>C82</t>
  </si>
  <si>
    <t>A83</t>
  </si>
  <si>
    <t>B83</t>
  </si>
  <si>
    <t>C83</t>
  </si>
  <si>
    <t>A84</t>
  </si>
  <si>
    <t>B84</t>
  </si>
  <si>
    <t>C84</t>
  </si>
  <si>
    <t>A85</t>
  </si>
  <si>
    <t>B85</t>
  </si>
  <si>
    <t>C85</t>
  </si>
  <si>
    <t>A86</t>
  </si>
  <si>
    <t>B86</t>
  </si>
  <si>
    <t>C86</t>
  </si>
  <si>
    <t>A87</t>
  </si>
  <si>
    <t>B87</t>
  </si>
  <si>
    <t>C87</t>
  </si>
  <si>
    <t>A88</t>
  </si>
  <si>
    <t>B88</t>
  </si>
  <si>
    <t>C88</t>
  </si>
  <si>
    <t>A89</t>
  </si>
  <si>
    <t>B89</t>
  </si>
  <si>
    <t>C89</t>
  </si>
  <si>
    <t>A90</t>
  </si>
  <si>
    <t>B90</t>
  </si>
  <si>
    <t>C90</t>
  </si>
  <si>
    <t>A91</t>
  </si>
  <si>
    <t>B91</t>
  </si>
  <si>
    <t>C91</t>
  </si>
  <si>
    <t>A92</t>
  </si>
  <si>
    <t>B92</t>
  </si>
  <si>
    <t>C92</t>
  </si>
  <si>
    <t>A93</t>
  </si>
  <si>
    <t>B93</t>
  </si>
  <si>
    <t>C93</t>
  </si>
  <si>
    <t>A94</t>
  </si>
  <si>
    <t>B94</t>
  </si>
  <si>
    <t>C94</t>
  </si>
  <si>
    <t>A95</t>
  </si>
  <si>
    <t>B95</t>
  </si>
  <si>
    <t>C95</t>
  </si>
  <si>
    <t>A96</t>
  </si>
  <si>
    <t>B96</t>
  </si>
  <si>
    <t>C96</t>
  </si>
  <si>
    <t>A97</t>
  </si>
  <si>
    <t>B97</t>
  </si>
  <si>
    <t>C97</t>
  </si>
  <si>
    <t>A98</t>
  </si>
  <si>
    <t>B98</t>
  </si>
  <si>
    <t>C98</t>
  </si>
  <si>
    <t>A99</t>
  </si>
  <si>
    <t>B99</t>
  </si>
  <si>
    <t>C99</t>
  </si>
  <si>
    <t>A100</t>
  </si>
  <si>
    <t>B100</t>
  </si>
  <si>
    <t>C100</t>
  </si>
  <si>
    <t>A101</t>
  </si>
  <si>
    <t>B101</t>
  </si>
  <si>
    <t>C101</t>
  </si>
  <si>
    <t>A102</t>
  </si>
  <si>
    <t>B102</t>
  </si>
  <si>
    <t>C102</t>
  </si>
  <si>
    <t>A103</t>
  </si>
  <si>
    <t>B103</t>
  </si>
  <si>
    <t>C103</t>
  </si>
  <si>
    <t>A104</t>
  </si>
  <si>
    <t>B104</t>
  </si>
  <si>
    <t>C104</t>
  </si>
  <si>
    <t>D1</t>
  </si>
  <si>
    <t>E1</t>
  </si>
  <si>
    <t>F1</t>
  </si>
  <si>
    <t>G1</t>
  </si>
  <si>
    <t xml:space="preserve">CELDA D1. Celda libre, no está ligada a ninguna función especial de ScienSolar.  </t>
  </si>
  <si>
    <t xml:space="preserve">CELDA E1. Celda libre, no está ligada a ninguna función especial de ScienSolar.  </t>
  </si>
  <si>
    <t xml:space="preserve">CELDA F1. Celda libre, no está ligada a ninguna función especial de ScienSolar.  </t>
  </si>
  <si>
    <t xml:space="preserve">CELDA G1. Celda libre, no está ligada a ninguna función especial de ScienSolar.  </t>
  </si>
  <si>
    <t>Free cell.</t>
  </si>
  <si>
    <t>D2</t>
  </si>
  <si>
    <t>E2</t>
  </si>
  <si>
    <t>F2</t>
  </si>
  <si>
    <t>G2</t>
  </si>
  <si>
    <t xml:space="preserve">CELDA E2. Celda libre, no está ligada a ninguna función especial de ScienSolar.  </t>
  </si>
  <si>
    <t>D3</t>
  </si>
  <si>
    <t>E3</t>
  </si>
  <si>
    <t>F3</t>
  </si>
  <si>
    <t>G3</t>
  </si>
  <si>
    <t xml:space="preserve">CELDA D3. Celda libre, no está ligada a ninguna función especial de ScienSolar.  </t>
  </si>
  <si>
    <t>D4</t>
  </si>
  <si>
    <t>E4</t>
  </si>
  <si>
    <t>F4</t>
  </si>
  <si>
    <t>G4</t>
  </si>
  <si>
    <t xml:space="preserve">CELDA D4. Celda libre, no está ligada a ninguna función especial de ScienSolar.  </t>
  </si>
  <si>
    <t>D5</t>
  </si>
  <si>
    <t>E5</t>
  </si>
  <si>
    <t>F5</t>
  </si>
  <si>
    <t>G5</t>
  </si>
  <si>
    <t xml:space="preserve">CELDA D5. Celda libre, no está ligada a ninguna función especial de ScienSolar.  </t>
  </si>
  <si>
    <t>D6</t>
  </si>
  <si>
    <t>E6</t>
  </si>
  <si>
    <t>F6</t>
  </si>
  <si>
    <t>G6</t>
  </si>
  <si>
    <t xml:space="preserve">CELDA D6. Celda libre, no está ligada a ninguna función especial de ScienSolar.  </t>
  </si>
  <si>
    <t>D7</t>
  </si>
  <si>
    <t>E7</t>
  </si>
  <si>
    <t>F7</t>
  </si>
  <si>
    <t>G7</t>
  </si>
  <si>
    <t xml:space="preserve">CELDA D7. Celda libre, no está ligada a ninguna función especial de ScienSolar.  </t>
  </si>
  <si>
    <t xml:space="preserve">CELDA E7. Celda libre, no está ligada a ninguna función especial de ScienSolar.  </t>
  </si>
  <si>
    <t xml:space="preserve">CELDA F7. Celda libre, no está ligada a ninguna función especial de ScienSolar.  </t>
  </si>
  <si>
    <t>D8</t>
  </si>
  <si>
    <t>E8</t>
  </si>
  <si>
    <t>F8</t>
  </si>
  <si>
    <t>G8</t>
  </si>
  <si>
    <t xml:space="preserve">CELDA D8. Celda libre, no está ligada a ninguna función especial de ScienSolar.  </t>
  </si>
  <si>
    <t xml:space="preserve">CELDA E8. Celda libre, no está ligada a ninguna función especial de ScienSolar.  </t>
  </si>
  <si>
    <t xml:space="preserve">CELDA F8. Celda libre, no está ligada a ninguna función especial de ScienSolar.  </t>
  </si>
  <si>
    <t xml:space="preserve">CELDA G8. Celda libre, no está ligada a ninguna función especial de ScienSolar.  </t>
  </si>
  <si>
    <t>D9</t>
  </si>
  <si>
    <t>E9</t>
  </si>
  <si>
    <t>F9</t>
  </si>
  <si>
    <t>G9</t>
  </si>
  <si>
    <t xml:space="preserve">CELDA D9. Celda libre, no está ligada a ninguna función especial de ScienSolar.  </t>
  </si>
  <si>
    <t xml:space="preserve">CELDA E9. Celda libre, no está ligada a ninguna función especial de ScienSolar.  </t>
  </si>
  <si>
    <t xml:space="preserve">CELDA F9. Celda libre, no está ligada a ninguna función especial de ScienSolar.  </t>
  </si>
  <si>
    <t xml:space="preserve">CELDA G9. Celda libre, no está ligada a ninguna función especial de ScienSolar.  </t>
  </si>
  <si>
    <t>D10</t>
  </si>
  <si>
    <t>E10</t>
  </si>
  <si>
    <t>F10</t>
  </si>
  <si>
    <t>G10</t>
  </si>
  <si>
    <t xml:space="preserve">CELDA D10. Celda libre, no está ligada a ninguna función especial de ScienSolar.  </t>
  </si>
  <si>
    <t xml:space="preserve">CELDA E10. Celda libre, no está ligada a ninguna función especial de ScienSolar.  </t>
  </si>
  <si>
    <t xml:space="preserve">CELDA F10. Celda libre, no está ligada a ninguna función especial de ScienSolar.  </t>
  </si>
  <si>
    <t xml:space="preserve">CELDA G10. Celda libre, no está ligada a ninguna función especial de ScienSolar.  </t>
  </si>
  <si>
    <t>D11</t>
  </si>
  <si>
    <t>E11</t>
  </si>
  <si>
    <t>F11</t>
  </si>
  <si>
    <t>G11</t>
  </si>
  <si>
    <t xml:space="preserve">CELDA D11. Celda libre, no está ligada a ninguna función especial de ScienSolar.  </t>
  </si>
  <si>
    <t xml:space="preserve">CELDA E11. Celda libre, no está ligada a ninguna función especial de ScienSolar.  </t>
  </si>
  <si>
    <t xml:space="preserve">CELDA F11. Celda libre, no está ligada a ninguna función especial de ScienSolar.  </t>
  </si>
  <si>
    <t xml:space="preserve">CELDA G11. Celda libre, no está ligada a ninguna función especial de ScienSolar.  </t>
  </si>
  <si>
    <t>D12</t>
  </si>
  <si>
    <t>E12</t>
  </si>
  <si>
    <t>F12</t>
  </si>
  <si>
    <t>G12</t>
  </si>
  <si>
    <t xml:space="preserve">CELDA D12. Celda libre, no está ligada a ninguna función especial de ScienSolar.  </t>
  </si>
  <si>
    <t xml:space="preserve">CELDA E12. Celda libre, no está ligada a ninguna función especial de ScienSolar.  </t>
  </si>
  <si>
    <t xml:space="preserve">CELDA F12. Celda libre, no está ligada a ninguna función especial de ScienSolar.  </t>
  </si>
  <si>
    <t xml:space="preserve">CELDA G12. Celda libre, no está ligada a ninguna función especial de ScienSolar.  </t>
  </si>
  <si>
    <t>D13</t>
  </si>
  <si>
    <t>E13</t>
  </si>
  <si>
    <t>F13</t>
  </si>
  <si>
    <t>G13</t>
  </si>
  <si>
    <t xml:space="preserve">CELDA D13. Celda libre, no está ligada a ninguna función especial de ScienSolar.  </t>
  </si>
  <si>
    <t xml:space="preserve">CELDA E13. Celda libre, no está ligada a ninguna función especial de ScienSolar.  </t>
  </si>
  <si>
    <t xml:space="preserve">CELDA F13. Celda libre, no está ligada a ninguna función especial de ScienSolar.  </t>
  </si>
  <si>
    <t xml:space="preserve">CELDA G13. Celda libre, no está ligada a ninguna función especial de ScienSolar.  </t>
  </si>
  <si>
    <t>D14</t>
  </si>
  <si>
    <t>E14</t>
  </si>
  <si>
    <t>F14</t>
  </si>
  <si>
    <t>G14</t>
  </si>
  <si>
    <t xml:space="preserve">CELDA D14. Celda libre, no está ligada a ninguna función especial de ScienSolar.  </t>
  </si>
  <si>
    <t xml:space="preserve">CELDA E14. Celda libre, no está ligada a ninguna función especial de ScienSolar.  </t>
  </si>
  <si>
    <t xml:space="preserve">CELDA F14. Celda libre, no está ligada a ninguna función especial de ScienSolar.  </t>
  </si>
  <si>
    <t xml:space="preserve">CELDA G14. Celda libre, no está ligada a ninguna función especial de ScienSolar.  </t>
  </si>
  <si>
    <t>D15</t>
  </si>
  <si>
    <t>E15</t>
  </si>
  <si>
    <t>F15</t>
  </si>
  <si>
    <t>G15</t>
  </si>
  <si>
    <t xml:space="preserve">CELDA D15. Celda libre, no está ligada a ninguna función especial de ScienSolar.  </t>
  </si>
  <si>
    <t xml:space="preserve">CELDA E15. Celda libre, no está ligada a ninguna función especial de ScienSolar.  </t>
  </si>
  <si>
    <t xml:space="preserve">CELDA F15. Celda libre, no está ligada a ninguna función especial de ScienSolar.  </t>
  </si>
  <si>
    <t xml:space="preserve">CELDA G15. Celda libre, no está ligada a ninguna función especial de ScienSolar.  </t>
  </si>
  <si>
    <t>D16</t>
  </si>
  <si>
    <t>E16</t>
  </si>
  <si>
    <t>F16</t>
  </si>
  <si>
    <t>G16</t>
  </si>
  <si>
    <t xml:space="preserve">CELDA D16. Celda libre, no está ligada a ninguna función especial de ScienSolar.  </t>
  </si>
  <si>
    <t xml:space="preserve">CELDA E16. Celda libre, no está ligada a ninguna función especial de ScienSolar.  </t>
  </si>
  <si>
    <t xml:space="preserve">CELDA F16. Celda libre, no está ligada a ninguna función especial de ScienSolar.  </t>
  </si>
  <si>
    <t xml:space="preserve">CELDA G16. Celda libre, no está ligada a ninguna función especial de ScienSolar.  </t>
  </si>
  <si>
    <t>D17</t>
  </si>
  <si>
    <t>E17</t>
  </si>
  <si>
    <t>F17</t>
  </si>
  <si>
    <t>G17</t>
  </si>
  <si>
    <t xml:space="preserve">CELDA D17. Celda libre, no está ligada a ninguna función especial de ScienSolar.  </t>
  </si>
  <si>
    <t xml:space="preserve">CELDA E17. Celda libre, no está ligada a ninguna función especial de ScienSolar.  </t>
  </si>
  <si>
    <t xml:space="preserve">CELDA F17. Celda libre, no está ligada a ninguna función especial de ScienSolar.  </t>
  </si>
  <si>
    <t xml:space="preserve">CELDA G17. Celda libre, no está ligada a ninguna función especial de ScienSolar.  </t>
  </si>
  <si>
    <t>D18</t>
  </si>
  <si>
    <t>E18</t>
  </si>
  <si>
    <t>F18</t>
  </si>
  <si>
    <t>G18</t>
  </si>
  <si>
    <t xml:space="preserve">CELDA D18. Celda libre, no está ligada a ninguna función especial de ScienSolar.  </t>
  </si>
  <si>
    <t xml:space="preserve">CELDA E18. Celda libre, no está ligada a ninguna función especial de ScienSolar.  </t>
  </si>
  <si>
    <t xml:space="preserve">CELDA F18. Celda libre, no está ligada a ninguna función especial de ScienSolar.  </t>
  </si>
  <si>
    <t xml:space="preserve">CELDA G18. Celda libre, no está ligada a ninguna función especial de ScienSolar.  </t>
  </si>
  <si>
    <t>D19</t>
  </si>
  <si>
    <t>E19</t>
  </si>
  <si>
    <t>F19</t>
  </si>
  <si>
    <t>G19</t>
  </si>
  <si>
    <t xml:space="preserve">CELDA D19. Celda libre, no está ligada a ninguna función especial de ScienSolar.  </t>
  </si>
  <si>
    <t xml:space="preserve">CELDA E19. Celda libre, no está ligada a ninguna función especial de ScienSolar.  </t>
  </si>
  <si>
    <t xml:space="preserve">CELDA F19. Celda libre, no está ligada a ninguna función especial de ScienSolar.  </t>
  </si>
  <si>
    <t xml:space="preserve">CELDA G19. Celda libre, no está ligada a ninguna función especial de ScienSolar.  </t>
  </si>
  <si>
    <t>D20</t>
  </si>
  <si>
    <t>E20</t>
  </si>
  <si>
    <t>F20</t>
  </si>
  <si>
    <t>G20</t>
  </si>
  <si>
    <t xml:space="preserve">CELDA D20. Celda libre, no está ligada a ninguna función especial de ScienSolar.  </t>
  </si>
  <si>
    <t xml:space="preserve">CELDA E20. Celda libre, no está ligada a ninguna función especial de ScienSolar.  </t>
  </si>
  <si>
    <t xml:space="preserve">CELDA F20. Celda libre, no está ligada a ninguna función especial de ScienSolar.  </t>
  </si>
  <si>
    <t xml:space="preserve">CELDA G20. Celda libre, no está ligada a ninguna función especial de ScienSolar.  </t>
  </si>
  <si>
    <t>D21</t>
  </si>
  <si>
    <t>E21</t>
  </si>
  <si>
    <t>F21</t>
  </si>
  <si>
    <t>G21</t>
  </si>
  <si>
    <t xml:space="preserve">CELDA D21. Celda libre, no está ligada a ninguna función especial de ScienSolar.  </t>
  </si>
  <si>
    <t xml:space="preserve">CELDA E21. Celda libre, no está ligada a ninguna función especial de ScienSolar.  </t>
  </si>
  <si>
    <t xml:space="preserve">CELDA F21. Celda libre, no está ligada a ninguna función especial de ScienSolar.  </t>
  </si>
  <si>
    <t xml:space="preserve">CELDA G21. Celda libre, no está ligada a ninguna función especial de ScienSolar.  </t>
  </si>
  <si>
    <t>D22</t>
  </si>
  <si>
    <t>E22</t>
  </si>
  <si>
    <t>F22</t>
  </si>
  <si>
    <t>G22</t>
  </si>
  <si>
    <t xml:space="preserve">CELDA D22. Celda libre, no está ligada a ninguna función especial de ScienSolar.  </t>
  </si>
  <si>
    <t xml:space="preserve">CELDA E22. Celda libre, no está ligada a ninguna función especial de ScienSolar.  </t>
  </si>
  <si>
    <t xml:space="preserve">CELDA F22. Celda libre, no está ligada a ninguna función especial de ScienSolar.  </t>
  </si>
  <si>
    <t xml:space="preserve">CELDA G22. Celda libre, no está ligada a ninguna función especial de ScienSolar.  </t>
  </si>
  <si>
    <t>D23</t>
  </si>
  <si>
    <t>E23</t>
  </si>
  <si>
    <t>F23</t>
  </si>
  <si>
    <t>G23</t>
  </si>
  <si>
    <t xml:space="preserve">CELDA D23. Celda libre, no está ligada a ninguna función especial de ScienSolar.  </t>
  </si>
  <si>
    <t xml:space="preserve">CELDA E23. Celda libre, no está ligada a ninguna función especial de ScienSolar.  </t>
  </si>
  <si>
    <t xml:space="preserve">CELDA F23. Celda libre, no está ligada a ninguna función especial de ScienSolar.  </t>
  </si>
  <si>
    <t xml:space="preserve">CELDA G23. Celda libre, no está ligada a ninguna función especial de ScienSolar.  </t>
  </si>
  <si>
    <t>D24</t>
  </si>
  <si>
    <t>E24</t>
  </si>
  <si>
    <t>F24</t>
  </si>
  <si>
    <t>G24</t>
  </si>
  <si>
    <t xml:space="preserve">CELDA D24. Celda libre, no está ligada a ninguna función especial de ScienSolar.  </t>
  </si>
  <si>
    <t xml:space="preserve">CELDA E24. Celda libre, no está ligada a ninguna función especial de ScienSolar.  </t>
  </si>
  <si>
    <t xml:space="preserve">CELDA F24. Celda libre, no está ligada a ninguna función especial de ScienSolar.  </t>
  </si>
  <si>
    <t xml:space="preserve">CELDA G24. Celda libre, no está ligada a ninguna función especial de ScienSolar.  </t>
  </si>
  <si>
    <t>D25</t>
  </si>
  <si>
    <t>E25</t>
  </si>
  <si>
    <t>F25</t>
  </si>
  <si>
    <t>G25</t>
  </si>
  <si>
    <t xml:space="preserve">CELDA D25. Celda libre, no está ligada a ninguna función especial de ScienSolar.  </t>
  </si>
  <si>
    <t xml:space="preserve">CELDA E25. Celda libre, no está ligada a ninguna función especial de ScienSolar.  </t>
  </si>
  <si>
    <t xml:space="preserve">CELDA F25. Celda libre, no está ligada a ninguna función especial de ScienSolar.  </t>
  </si>
  <si>
    <t xml:space="preserve">CELDA G25. Celda libre, no está ligada a ninguna función especial de ScienSolar.  </t>
  </si>
  <si>
    <t>D26</t>
  </si>
  <si>
    <t>E26</t>
  </si>
  <si>
    <t>F26</t>
  </si>
  <si>
    <t>G26</t>
  </si>
  <si>
    <t xml:space="preserve">CELDA D26. Celda libre, no está ligada a ninguna función especial de ScienSolar.  </t>
  </si>
  <si>
    <t xml:space="preserve">CELDA E26. Celda libre, no está ligada a ninguna función especial de ScienSolar.  </t>
  </si>
  <si>
    <t xml:space="preserve">CELDA F26. Celda libre, no está ligada a ninguna función especial de ScienSolar.  </t>
  </si>
  <si>
    <t xml:space="preserve">CELDA G26. Celda libre, no está ligada a ninguna función especial de ScienSolar.  </t>
  </si>
  <si>
    <t>D27</t>
  </si>
  <si>
    <t>E27</t>
  </si>
  <si>
    <t>F27</t>
  </si>
  <si>
    <t>G27</t>
  </si>
  <si>
    <t xml:space="preserve">CELDA D27. Celda libre, no está ligada a ninguna función especial de ScienSolar.  </t>
  </si>
  <si>
    <t xml:space="preserve">CELDA E27. Celda libre, no está ligada a ninguna función especial de ScienSolar.  </t>
  </si>
  <si>
    <t xml:space="preserve">CELDA F27. Celda libre, no está ligada a ninguna función especial de ScienSolar.  </t>
  </si>
  <si>
    <t xml:space="preserve">CELDA G27. Celda libre, no está ligada a ninguna función especial de ScienSolar.  </t>
  </si>
  <si>
    <t>D28</t>
  </si>
  <si>
    <t>E28</t>
  </si>
  <si>
    <t>F28</t>
  </si>
  <si>
    <t>G28</t>
  </si>
  <si>
    <t xml:space="preserve">CELDA D28. Celda libre, no está ligada a ninguna función especial de ScienSolar.  </t>
  </si>
  <si>
    <t xml:space="preserve">CELDA E28. Celda libre, no está ligada a ninguna función especial de ScienSolar.  </t>
  </si>
  <si>
    <t xml:space="preserve">CELDA F28. Celda libre, no está ligada a ninguna función especial de ScienSolar.  </t>
  </si>
  <si>
    <t xml:space="preserve">CELDA G28. Celda libre, no está ligada a ninguna función especial de ScienSolar.  </t>
  </si>
  <si>
    <t>D29</t>
  </si>
  <si>
    <t>E29</t>
  </si>
  <si>
    <t>F29</t>
  </si>
  <si>
    <t>G29</t>
  </si>
  <si>
    <t xml:space="preserve">CELDA D29. Celda libre, no está ligada a ninguna función especial de ScienSolar.  </t>
  </si>
  <si>
    <t xml:space="preserve">CELDA E29. Celda libre, no está ligada a ninguna función especial de ScienSolar.  </t>
  </si>
  <si>
    <t xml:space="preserve">CELDA F29. Celda libre, no está ligada a ninguna función especial de ScienSolar.  </t>
  </si>
  <si>
    <t xml:space="preserve">CELDA G29. Celda libre, no está ligada a ninguna función especial de ScienSolar.  </t>
  </si>
  <si>
    <t>D30</t>
  </si>
  <si>
    <t>E30</t>
  </si>
  <si>
    <t>F30</t>
  </si>
  <si>
    <t>G30</t>
  </si>
  <si>
    <t xml:space="preserve">CELDA D30. Celda libre, no está ligada a ninguna función especial de ScienSolar.  </t>
  </si>
  <si>
    <t xml:space="preserve">CELDA E30. Celda libre, no está ligada a ninguna función especial de ScienSolar.  </t>
  </si>
  <si>
    <t xml:space="preserve">CELDA F30. Celda libre, no está ligada a ninguna función especial de ScienSolar.  </t>
  </si>
  <si>
    <t xml:space="preserve">CELDA G30. Celda libre, no está ligada a ninguna función especial de ScienSolar.  </t>
  </si>
  <si>
    <t>D31</t>
  </si>
  <si>
    <t>E31</t>
  </si>
  <si>
    <t>F31</t>
  </si>
  <si>
    <t>G31</t>
  </si>
  <si>
    <t xml:space="preserve">CELDA D31. Celda libre, no está ligada a ninguna función especial de ScienSolar.  </t>
  </si>
  <si>
    <t xml:space="preserve">CELDA E31. Celda libre, no está ligada a ninguna función especial de ScienSolar.  </t>
  </si>
  <si>
    <t xml:space="preserve">CELDA F31. Celda libre, no está ligada a ninguna función especial de ScienSolar.  </t>
  </si>
  <si>
    <t xml:space="preserve">CELDA G31. Celda libre, no está ligada a ninguna función especial de ScienSolar.  </t>
  </si>
  <si>
    <t>D32</t>
  </si>
  <si>
    <t>E32</t>
  </si>
  <si>
    <t>F32</t>
  </si>
  <si>
    <t>G32</t>
  </si>
  <si>
    <t xml:space="preserve">CELDA D32. Celda libre, no está ligada a ninguna función especial de ScienSolar.  </t>
  </si>
  <si>
    <t xml:space="preserve">CELDA E32. Celda libre, no está ligada a ninguna función especial de ScienSolar.  </t>
  </si>
  <si>
    <t xml:space="preserve">CELDA F32. Celda libre, no está ligada a ninguna función especial de ScienSolar.  </t>
  </si>
  <si>
    <t xml:space="preserve">CELDA G32. Celda libre, no está ligada a ninguna función especial de ScienSolar.  </t>
  </si>
  <si>
    <t>D33</t>
  </si>
  <si>
    <t>E33</t>
  </si>
  <si>
    <t>F33</t>
  </si>
  <si>
    <t>G33</t>
  </si>
  <si>
    <t xml:space="preserve">CELDA D33. Celda libre, no está ligada a ninguna función especial de ScienSolar.  </t>
  </si>
  <si>
    <t xml:space="preserve">CELDA E33. Celda libre, no está ligada a ninguna función especial de ScienSolar.  </t>
  </si>
  <si>
    <t xml:space="preserve">CELDA F33. Celda libre, no está ligada a ninguna función especial de ScienSolar.  </t>
  </si>
  <si>
    <t xml:space="preserve">CELDA G33. Celda libre, no está ligada a ninguna función especial de ScienSolar.  </t>
  </si>
  <si>
    <t>D34</t>
  </si>
  <si>
    <t>E34</t>
  </si>
  <si>
    <t>F34</t>
  </si>
  <si>
    <t>G34</t>
  </si>
  <si>
    <t xml:space="preserve">CELDA D34. Celda libre, no está ligada a ninguna función especial de ScienSolar.  </t>
  </si>
  <si>
    <t xml:space="preserve">CELDA E34. Celda libre, no está ligada a ninguna función especial de ScienSolar.  </t>
  </si>
  <si>
    <t xml:space="preserve">CELDA F34. Celda libre, no está ligada a ninguna función especial de ScienSolar.  </t>
  </si>
  <si>
    <t xml:space="preserve">CELDA G34. Celda libre, no está ligada a ninguna función especial de ScienSolar.  </t>
  </si>
  <si>
    <t>D35</t>
  </si>
  <si>
    <t>E35</t>
  </si>
  <si>
    <t>F35</t>
  </si>
  <si>
    <t>G35</t>
  </si>
  <si>
    <t xml:space="preserve">CELDA D35. Celda libre, no está ligada a ninguna función especial de ScienSolar.  </t>
  </si>
  <si>
    <t xml:space="preserve">CELDA E35. Celda libre, no está ligada a ninguna función especial de ScienSolar.  </t>
  </si>
  <si>
    <t xml:space="preserve">CELDA F35. Celda libre, no está ligada a ninguna función especial de ScienSolar.  </t>
  </si>
  <si>
    <t xml:space="preserve">CELDA G35. Celda libre, no está ligada a ninguna función especial de ScienSolar.  </t>
  </si>
  <si>
    <t>D36</t>
  </si>
  <si>
    <t>E36</t>
  </si>
  <si>
    <t>F36</t>
  </si>
  <si>
    <t>G36</t>
  </si>
  <si>
    <t xml:space="preserve">CELDA D36. Celda libre, no está ligada a ninguna función especial de ScienSolar.  </t>
  </si>
  <si>
    <t xml:space="preserve">CELDA E36. Celda libre, no está ligada a ninguna función especial de ScienSolar.  </t>
  </si>
  <si>
    <t xml:space="preserve">CELDA F36. Celda libre, no está ligada a ninguna función especial de ScienSolar.  </t>
  </si>
  <si>
    <t xml:space="preserve">CELDA G36. Celda libre, no está ligada a ninguna función especial de ScienSolar.  </t>
  </si>
  <si>
    <t>D37</t>
  </si>
  <si>
    <t>E37</t>
  </si>
  <si>
    <t>F37</t>
  </si>
  <si>
    <t>G37</t>
  </si>
  <si>
    <t xml:space="preserve">CELDA D37. Celda libre, no está ligada a ninguna función especial de ScienSolar.  </t>
  </si>
  <si>
    <t xml:space="preserve">CELDA E37. Celda libre, no está ligada a ninguna función especial de ScienSolar.  </t>
  </si>
  <si>
    <t xml:space="preserve">CELDA F37. Celda libre, no está ligada a ninguna función especial de ScienSolar.  </t>
  </si>
  <si>
    <t xml:space="preserve">CELDA G37. Celda libre, no está ligada a ninguna función especial de ScienSolar.  </t>
  </si>
  <si>
    <t>D38</t>
  </si>
  <si>
    <t>E38</t>
  </si>
  <si>
    <t>F38</t>
  </si>
  <si>
    <t>G38</t>
  </si>
  <si>
    <t xml:space="preserve">CELDA D38. Celda libre, no está ligada a ninguna función especial de ScienSolar.  </t>
  </si>
  <si>
    <t xml:space="preserve">CELDA E38. Celda libre, no está ligada a ninguna función especial de ScienSolar.  </t>
  </si>
  <si>
    <t xml:space="preserve">CELDA F38. Celda libre, no está ligada a ninguna función especial de ScienSolar.  </t>
  </si>
  <si>
    <t xml:space="preserve">CELDA G38. Celda libre, no está ligada a ninguna función especial de ScienSolar.  </t>
  </si>
  <si>
    <t>D39</t>
  </si>
  <si>
    <t>E39</t>
  </si>
  <si>
    <t>F39</t>
  </si>
  <si>
    <t>G39</t>
  </si>
  <si>
    <t xml:space="preserve">CELDA D39. Celda libre, no está ligada a ninguna función especial de ScienSolar.  </t>
  </si>
  <si>
    <t xml:space="preserve">CELDA E39. Celda libre, no está ligada a ninguna función especial de ScienSolar.  </t>
  </si>
  <si>
    <t xml:space="preserve">CELDA F39. Celda libre, no está ligada a ninguna función especial de ScienSolar.  </t>
  </si>
  <si>
    <t xml:space="preserve">CELDA G39. Celda libre, no está ligada a ninguna función especial de ScienSolar.  </t>
  </si>
  <si>
    <t>D40</t>
  </si>
  <si>
    <t>E40</t>
  </si>
  <si>
    <t>F40</t>
  </si>
  <si>
    <t>G40</t>
  </si>
  <si>
    <t xml:space="preserve">CELDA D40. Celda libre, no está ligada a ninguna función especial de ScienSolar.  </t>
  </si>
  <si>
    <t xml:space="preserve">CELDA E40. Celda libre, no está ligada a ninguna función especial de ScienSolar.  </t>
  </si>
  <si>
    <t xml:space="preserve">CELDA F40. Celda libre, no está ligada a ninguna función especial de ScienSolar.  </t>
  </si>
  <si>
    <t xml:space="preserve">CELDA G40. Celda libre, no está ligada a ninguna función especial de ScienSolar.  </t>
  </si>
  <si>
    <t>D41</t>
  </si>
  <si>
    <t>E41</t>
  </si>
  <si>
    <t>F41</t>
  </si>
  <si>
    <t>G41</t>
  </si>
  <si>
    <t xml:space="preserve">CELDA D41. Celda libre, no está ligada a ninguna función especial de ScienSolar.  </t>
  </si>
  <si>
    <t xml:space="preserve">CELDA E41. Celda libre, no está ligada a ninguna función especial de ScienSolar.  </t>
  </si>
  <si>
    <t xml:space="preserve">CELDA F41. Celda libre, no está ligada a ninguna función especial de ScienSolar.  </t>
  </si>
  <si>
    <t xml:space="preserve">CELDA G41. Celda libre, no está ligada a ninguna función especial de ScienSolar.  </t>
  </si>
  <si>
    <t>H1</t>
  </si>
  <si>
    <t xml:space="preserve">CELDA H1. Celda libre, no está ligada a ninguna función especial de ScienSolar.  </t>
  </si>
  <si>
    <t>Cell H1. Free cell.</t>
  </si>
  <si>
    <t>H2</t>
  </si>
  <si>
    <t xml:space="preserve">CELDA H2. Celda libre, no está ligada a ninguna función especial de ScienSolar.  </t>
  </si>
  <si>
    <t>Cell H2. Free cell.</t>
  </si>
  <si>
    <t>H3</t>
  </si>
  <si>
    <t xml:space="preserve">CELDA H3. Celda libre, no está ligada a ninguna función especial de ScienSolar.  </t>
  </si>
  <si>
    <t>Cell H3. Free cell.</t>
  </si>
  <si>
    <t>H4</t>
  </si>
  <si>
    <t xml:space="preserve">CELDA H4. Celda libre, no está ligada a ninguna función especial de ScienSolar.  </t>
  </si>
  <si>
    <t>Cell H4. Free cell.</t>
  </si>
  <si>
    <t>H5</t>
  </si>
  <si>
    <t xml:space="preserve">CELDA H5. Celda libre, no está ligada a ninguna función especial de ScienSolar.  </t>
  </si>
  <si>
    <t>Cell H5. Free cell.</t>
  </si>
  <si>
    <t>I1</t>
  </si>
  <si>
    <t xml:space="preserve">CELDA I1. Celda libre, no está ligada a ninguna función especial de ScienSolar.  </t>
  </si>
  <si>
    <t>Cell I1. Free cell.</t>
  </si>
  <si>
    <t>I2</t>
  </si>
  <si>
    <t xml:space="preserve">CELDA I2. Celda libre, no está ligada a ninguna función especial de ScienSolar.  </t>
  </si>
  <si>
    <t>Cell I2. Free cell.</t>
  </si>
  <si>
    <t>I3</t>
  </si>
  <si>
    <t>I4</t>
  </si>
  <si>
    <t>I5</t>
  </si>
  <si>
    <t>J1</t>
  </si>
  <si>
    <t xml:space="preserve">CELDA J1. Celda libre, no está ligada a ninguna función especial de ScienSolar.  </t>
  </si>
  <si>
    <t>Cell J1. Free cell.</t>
  </si>
  <si>
    <t>J2</t>
  </si>
  <si>
    <t>J3</t>
  </si>
  <si>
    <t>J4</t>
  </si>
  <si>
    <t>J5</t>
  </si>
  <si>
    <t>K1</t>
  </si>
  <si>
    <t xml:space="preserve">CELDA K1. Celda libre, no está ligada a ninguna función especial de ScienSolar.  </t>
  </si>
  <si>
    <t>Cell K1. Free cell.</t>
  </si>
  <si>
    <t>K2</t>
  </si>
  <si>
    <t>K3</t>
  </si>
  <si>
    <t>K4</t>
  </si>
  <si>
    <t>K5</t>
  </si>
  <si>
    <t>L1</t>
  </si>
  <si>
    <t xml:space="preserve">CELDA L1. Celda libre, no está ligada a ninguna función especial de ScienSolar.  </t>
  </si>
  <si>
    <t>Cell L1. Free cell.</t>
  </si>
  <si>
    <t>L2</t>
  </si>
  <si>
    <t xml:space="preserve">CELDA L2. Celda libre, no está ligada a ninguna función especial de ScienSolar.  </t>
  </si>
  <si>
    <t>Cell L2. Free cell.</t>
  </si>
  <si>
    <t>L3</t>
  </si>
  <si>
    <t xml:space="preserve">CELDA L3. Celda libre, no está ligada a ninguna función especial de ScienSolar.  </t>
  </si>
  <si>
    <t>Cell L3. Free cell.</t>
  </si>
  <si>
    <t>L4</t>
  </si>
  <si>
    <t xml:space="preserve">CELDA L4. Celda libre, no está ligada a ninguna función especial de ScienSolar.  </t>
  </si>
  <si>
    <t>Cell L4. Free cell.</t>
  </si>
  <si>
    <t>L5</t>
  </si>
  <si>
    <t>M1</t>
  </si>
  <si>
    <t xml:space="preserve">CELDA M1. Celda libre, no está ligada a ninguna función especial de ScienSolar.  </t>
  </si>
  <si>
    <t>Cell M1. Free cell.</t>
  </si>
  <si>
    <t>M2</t>
  </si>
  <si>
    <t xml:space="preserve">CELDA M2. Celda libre, no está ligada a ninguna función especial de ScienSolar.  </t>
  </si>
  <si>
    <t>Cell M2. Free cell.</t>
  </si>
  <si>
    <t>M3</t>
  </si>
  <si>
    <t xml:space="preserve">CELDA M3. Celda libre, no está ligada a ninguna función especial de ScienSolar.  </t>
  </si>
  <si>
    <t>Cell M3. Free cell.</t>
  </si>
  <si>
    <t>M4</t>
  </si>
  <si>
    <t xml:space="preserve">CELDA M4. Celda libre, no está ligada a ninguna función especial de ScienSolar.  </t>
  </si>
  <si>
    <t>Cell M4. Free cell.</t>
  </si>
  <si>
    <t>M5</t>
  </si>
  <si>
    <t xml:space="preserve">CELDA M5. Celda libre, no está ligada a ninguna función especial de ScienSolar.  </t>
  </si>
  <si>
    <t>Cell M5. Free cell.</t>
  </si>
  <si>
    <t>N1</t>
  </si>
  <si>
    <t xml:space="preserve">CELDA N1. Celda libre, no está ligada a ninguna función especial de ScienSolar.  </t>
  </si>
  <si>
    <t>Cell N1. Free cell.</t>
  </si>
  <si>
    <t>N2</t>
  </si>
  <si>
    <t xml:space="preserve">CELDA N2. Celda libre, no está ligada a ninguna función especial de ScienSolar.  </t>
  </si>
  <si>
    <t>Cell N2. Free cell.</t>
  </si>
  <si>
    <t>N3</t>
  </si>
  <si>
    <t xml:space="preserve">CELDA N3. Celda libre, no está ligada a ninguna función especial de ScienSolar.  </t>
  </si>
  <si>
    <t>Cell N3. Free cell.</t>
  </si>
  <si>
    <t>N4</t>
  </si>
  <si>
    <t xml:space="preserve">CELDA N4. Celda libre, no está ligada a ninguna función especial de ScienSolar.  </t>
  </si>
  <si>
    <t>Cell N4. Free cell.</t>
  </si>
  <si>
    <t>N5</t>
  </si>
  <si>
    <t xml:space="preserve">CELDA N5. Celda libre, no está ligada a ninguna función especial de ScienSolar.  </t>
  </si>
  <si>
    <t>Cell N5. Free cell.</t>
  </si>
  <si>
    <t>O1</t>
  </si>
  <si>
    <t xml:space="preserve">CELDA O1. Celda libre, no está ligada a ninguna función especial de ScienSolar.  </t>
  </si>
  <si>
    <t>Cell O1. Free cell.</t>
  </si>
  <si>
    <t>O2</t>
  </si>
  <si>
    <t>O3</t>
  </si>
  <si>
    <t xml:space="preserve">CELDA O3. Celda libre, no está ligada a ninguna función especial de ScienSolar.  </t>
  </si>
  <si>
    <t>Cell O3. Free cell.</t>
  </si>
  <si>
    <t>O4</t>
  </si>
  <si>
    <t xml:space="preserve">CELDA O4. Celda libre, no está ligada a ninguna función especial de ScienSolar.  </t>
  </si>
  <si>
    <t>Cell O4. Free cell.</t>
  </si>
  <si>
    <t>O5</t>
  </si>
  <si>
    <t xml:space="preserve">CELDA O5. Celda libre, no está ligada a ninguna función especial de ScienSolar.  </t>
  </si>
  <si>
    <t>Cell O5. Free cell.</t>
  </si>
  <si>
    <t>P1</t>
  </si>
  <si>
    <t xml:space="preserve">CELDA P1. Celda libre, no está ligada a ninguna función especial de ScienSolar.  </t>
  </si>
  <si>
    <t>Cell P1. Free cell.</t>
  </si>
  <si>
    <t>P2</t>
  </si>
  <si>
    <t>P3</t>
  </si>
  <si>
    <t xml:space="preserve">CELDA P3. Celda libre, no está ligada a ninguna función especial de ScienSolar.  </t>
  </si>
  <si>
    <t>Cell P3. Free cell.</t>
  </si>
  <si>
    <t>P4</t>
  </si>
  <si>
    <t xml:space="preserve">CELDA P4. Celda libre, no está ligada a ninguna función especial de ScienSolar.  </t>
  </si>
  <si>
    <t>Cell P4. Free cell.</t>
  </si>
  <si>
    <t>P5</t>
  </si>
  <si>
    <t>Q1</t>
  </si>
  <si>
    <t xml:space="preserve">CELDA Q1. Celda libre, no está ligada a ninguna función especial de ScienSolar.  </t>
  </si>
  <si>
    <t>Cell Q1. Free cell.</t>
  </si>
  <si>
    <t>Q2</t>
  </si>
  <si>
    <t xml:space="preserve">CELDA Q2. Celda libre, no está ligada a ninguna función especial de ScienSolar.  </t>
  </si>
  <si>
    <t>Cell Q2. Free cell.</t>
  </si>
  <si>
    <t>Q3</t>
  </si>
  <si>
    <t xml:space="preserve">CELDA Q3. Celda libre, no está ligada a ninguna función especial de ScienSolar.  </t>
  </si>
  <si>
    <t>Cell Q3. Free cell.</t>
  </si>
  <si>
    <t>Q4</t>
  </si>
  <si>
    <t xml:space="preserve">CELDA Q4. Celda libre, no está ligada a ninguna función especial de ScienSolar.  </t>
  </si>
  <si>
    <t>Cell Q4. Free cell.</t>
  </si>
  <si>
    <t>Q5</t>
  </si>
  <si>
    <t>R1</t>
  </si>
  <si>
    <t xml:space="preserve">CELDA R1. Celda libre, no está ligada a ninguna función especial de ScienSolar.  </t>
  </si>
  <si>
    <t>Cell R1. Free cell.</t>
  </si>
  <si>
    <t>R2</t>
  </si>
  <si>
    <t xml:space="preserve">CELDA R2. Celda libre, no está ligada a ninguna función especial de ScienSolar.  </t>
  </si>
  <si>
    <t>Cell R2. Free cell.</t>
  </si>
  <si>
    <t>R3</t>
  </si>
  <si>
    <t xml:space="preserve">CELDA R3. Celda libre, no está ligada a ninguna función especial de ScienSolar.  </t>
  </si>
  <si>
    <t>Cell R3. Free cell.</t>
  </si>
  <si>
    <t>R4</t>
  </si>
  <si>
    <t xml:space="preserve">CELDA R4. Celda libre, no está ligada a ninguna función especial de ScienSolar.  </t>
  </si>
  <si>
    <t>Cell R4. Free cell.</t>
  </si>
  <si>
    <t>R5</t>
  </si>
  <si>
    <t>S1</t>
  </si>
  <si>
    <t xml:space="preserve">CELDA S1. Celda libre, no está ligada a ninguna función especial de ScienSolar.  </t>
  </si>
  <si>
    <t>Cell S1. Free cell.</t>
  </si>
  <si>
    <t>S2</t>
  </si>
  <si>
    <t>S3</t>
  </si>
  <si>
    <t xml:space="preserve">CELDA S3. Celda libre, no está ligada a ninguna función especial de ScienSolar.  </t>
  </si>
  <si>
    <t>Cell S3. Free cell.</t>
  </si>
  <si>
    <t>S4</t>
  </si>
  <si>
    <t xml:space="preserve">CELDA S4. Celda libre, no está ligada a ninguna función especial de ScienSolar.  </t>
  </si>
  <si>
    <t>Cell S4. Free cell.</t>
  </si>
  <si>
    <t>S5</t>
  </si>
  <si>
    <t>T1</t>
  </si>
  <si>
    <t xml:space="preserve">CELDA T1. Celda libre, no está ligada a ninguna función especial de ScienSolar.  </t>
  </si>
  <si>
    <t>Cell T1. Free cell.</t>
  </si>
  <si>
    <t>T2</t>
  </si>
  <si>
    <t>T3</t>
  </si>
  <si>
    <t xml:space="preserve">CELDA T3. Celda libre, no está ligada a ninguna función especial de ScienSolar.  </t>
  </si>
  <si>
    <t>Cell T3. Free cell.</t>
  </si>
  <si>
    <t>T4</t>
  </si>
  <si>
    <t xml:space="preserve">CELDA T4. Celda libre, no está ligada a ninguna función especial de ScienSolar.  </t>
  </si>
  <si>
    <t>Cell T4. Free cell.</t>
  </si>
  <si>
    <t>T5</t>
  </si>
  <si>
    <t>U1</t>
  </si>
  <si>
    <t xml:space="preserve">CELDA U1. Celda libre, no está ligada a ninguna función especial de ScienSolar.  </t>
  </si>
  <si>
    <t>Cell U1. Free cell.</t>
  </si>
  <si>
    <t>U2</t>
  </si>
  <si>
    <t xml:space="preserve">CELDA U2. Celda libre, no está ligada a ninguna función especial de ScienSolar.  </t>
  </si>
  <si>
    <t>Cell U2. Free cell.</t>
  </si>
  <si>
    <t>U3</t>
  </si>
  <si>
    <t xml:space="preserve">CELDA U3. Celda libre, no está ligada a ninguna función especial de ScienSolar.  </t>
  </si>
  <si>
    <t>Cell U3. Free cell.</t>
  </si>
  <si>
    <t>U4</t>
  </si>
  <si>
    <t xml:space="preserve">CELDA U4. Celda libre, no está ligada a ninguna función especial de ScienSolar.  </t>
  </si>
  <si>
    <t>Cell U4. Free cell.</t>
  </si>
  <si>
    <t>U5</t>
  </si>
  <si>
    <t xml:space="preserve">CELDA U5. Celda libre, no está ligada a ninguna función especial de ScienSolar.  </t>
  </si>
  <si>
    <t>Cell U5. Free cell.</t>
  </si>
  <si>
    <t>COLUMNAS D y E están disponibles para uso libre y alli se pueden introducir fórmulas de Excel para los modelos.</t>
  </si>
  <si>
    <t>COLUMNAS F y G están disponibles para uso libre y pueden ser usadas para que el usuario ingrese parámetros iniciales. La columna G tiene un formato condicional que cuando se ingresan datos su color de fondo cambia.</t>
  </si>
  <si>
    <t xml:space="preserve">ZONA 3: COLUMNAS DESDE H HASTA U y desde la fila 5 hacia abajo. Esta zona está dedicada al sistema de coordenadas . Todos los objetos que se configuren en las columnas A, B y C aparecerán en el sistema de coordenadas en esta zona. En esta zona también se pueden ubicar ecuaciones editadas en el editor de ecuaciones y guardadas en la hoja 3DModels, para ello escriba el número de la ecuación entre paréntesis  en el formato (Eq-3-1), en donde la expresión (Eq-  al principio es obligatoria, seguida de cualquier valor numérico o letras. Para visualizar la ecuación, se debe oprimir el correspondiente botón. Los botones para las ecuaciones para un proyecto nuevo aparecerán luego de exportar el código e introducirlo a ScienSolar. </t>
  </si>
  <si>
    <t>ZONA 4. COLUMNAS DESDE V HASTA AC.  Esta zona está libre y puede dedicarse a escribir allí la teoría sobre el modelo  o instrucciones de su ejecución. En ella se puede escribir directamente texto en las celdas de la zona en blanco, La información ingresada en estas columnas se guardará en el código de cada proyecto.</t>
  </si>
  <si>
    <t xml:space="preserve">ZONA 5: Esta zona comprende las columnas posteriores  a la columna AD, y están disponibles para que el usuario haga cálculos y coloque fórmulas temporales. Sin embargo el código del proyecto no exportará los datos ni fórmulas ingresados en esta zona, luego de oprimir el botón código. </t>
  </si>
  <si>
    <t xml:space="preserve">Celda libre. </t>
  </si>
  <si>
    <t xml:space="preserve">Esta celda es usada por ScienSolar para inicializar el programa, por favor no elimine ni modifique el contenido de esta celda. </t>
  </si>
  <si>
    <t>Botón para exportar el código del proyecto en curso. Este botón está destinado a exportar los proyectos nuevos o modificados en forma de código VBA en un archivo de texto que se guarda en la misma carpeta en la que se encuentra el archivo ScienSolar. Lea las instrucciones en el encabezado del archivo exportado para saber cómo se integra el proyecto a la lista de proyectos.  Al oprimir el botón, le pedirá el nombre del archivo de texto que se guardará. Mientras no se copie el código de un proyecto al editor de VBA este no aparecerá ni se modificará en ScienSolar.  La celda también la utiliza el programa y contiene el número del proyecto que se selecciona en la lista de proyectos.Observación: Hay que tener en cuenta que al exportar el código, algunos caracteres especiales (como tildes o símbolos) pueden no trabajar correctamente en algunos sistemas operativos. Se recomienda al exportar no incluir caracteres especiales en el nombre del archivo.</t>
  </si>
  <si>
    <t>Esta celda está ocupada y es usada para indicar el número de vectores u objetos que se encuentran en el sistema de coordenadas.  Este número es utilizado por el código para desplegar/recoger el menú de configuraciones.</t>
  </si>
  <si>
    <t>Cuando se carga un vector o un objeto al sistema de coordenadas, esta celda indica el número del vector consecutivo. BOTÓN DE LA IZQUIERDA: se utiliza para activar/desactivar el grosor del vector y su historia. BOTÓN DE LA DERECHA: se utiliza para comprimir o desplegar las celdas de configuración de cada vector. El botón del primer vector desplegará o comprimirá la configuración de todos los vectores.BOTÓN DE LA DERECHA  cuando hay DATOS: se utiliza para borrar la tabla de datos. PROPIEDADES: El valor 0 en esta celda no pone el vector en el sistema de coordenadas, aunque sí tiene en cuenta los parámetros y fórmulas que se encuentran en su configuración, lo cual tiene utilidad en algunos casos,por ejemplo cuando no se quiere visualizar el vector o cuando la cantidad de vectores es grande y se desea reducir el tiempode ejecución. Los números en estas celdas deben ser consecutivos ascendentes y no se deben repetir.</t>
  </si>
  <si>
    <t xml:space="preserve">Celda utilizada por ScienSolar para indicar si la configuración del vector está desplegada o plegada. El valor 0 indica plegada y el valor 1 desplegada. No modifique el valor de esta celda. </t>
  </si>
  <si>
    <t>El valor indicado aquí representa el número de objetos (vectores) clonados para el vector dado. Cuando la opción de este vector es MODO CAMPO el número es mayor que 1, de lo contrario es igual a 1. PROPIEDADES: Cuando se está trabajando en modo campo y la cantidad de objetos cargados a la hoja es muy grande, para borrarlos inmediatamente se coloca en esta celda un número mayor a 5000 y se oprime un botón de actualización. De otra manera no modifique esta celda.</t>
  </si>
  <si>
    <t>Celda libre cuando se usa el vector (183). PROPIEDADES: Cuando se carga un objeto 3D (200) esta celda se usa para introducir el ángulo de rotación del objeto. Como ejemplo ver el vector número 2 del proyecto Modelo 3D (oprimir Ejecutar en ese proyecto).</t>
  </si>
  <si>
    <t xml:space="preserve">Esta celda indica la posición inicial en el eje X del vector actual. Cuando se trabaja en modo CAMPO, el código automáticamente borra los datos de esta celda y los reemplaza por =A11, puesto que en A11 se recorrerán (en modo campo) todos los valores iniciales de las coordenadas en X de los vectores del campo. dados para un rango en la coordenada X. En esta celda el usuario puede introducir valores constantes así como funciones.Para ver como funciona, en una nueva hoja de ScienSolar agregue un nuevo vector y en A12 = 4, B12= 3, C12 = 0. Oprima XYZ, Ponga otros valores y observe los cambios en el sistema de coordenadas. </t>
  </si>
  <si>
    <t>Esta celda es usada por el código cuando se trabaja en MODO CAMPO para recorrer todos los valores de las coordenadas como variables. Dicho de otra manera, esta celda equivale a la variable X cuando se trabaja con una función f(x). Como ejemplo de uso de esta celda ver los proyectos DIPOLO ELÉCTRICO, SIMETRÍA CILÍNDRICA y SIMETRÍA ESFÉRICA. Para campos escalares ver el proyecto FUNCIONES.</t>
  </si>
  <si>
    <t>En esta celda se introduce el valor de la coordenada en el eje X del vector. Cuando se trabaja en MODO CAMPO, se introduce aquí la función correspondiente al eje X del campo vectorial. Como ejemplo de uso de esta celda ver los proyectos DIPOLO ELÉCTRICO, SIMETRÍA CILÍNDRICA y SIMETRÍA ESFÉRICA. Para campos escalares ver el proyecto FUNCIONES.</t>
  </si>
  <si>
    <t>Cola del vector. Cuando se utiliza un vector convencional (183), se puede cambiar la forma de la cola del vector. Algunas otras formas diferentes a la 183 también pueden obedecer a esta celda. Los valores permitidos son del 1 al 6. También pueden introducirse funciones que cambien este valor automáticamente.</t>
  </si>
  <si>
    <t>Cabeza del vector. Cuando se utiliza un vector convencional (183), se puede cambiar la forma de la cabeza del vector. Algunas otras formas diferentes a la 183 también pueden obedecer a esta celda. Los valores permitidos son del 1 al 6. También pueden introducirse funciones que cambien este valor automáticamente.</t>
  </si>
  <si>
    <t>COLUMNS D and E are available for free use and Excel formulas for the models can be entered there.</t>
  </si>
  <si>
    <t>COLUMNS F and G are available for free use and can be used for the user to enter initial parameters. Column G has conditional formatting that when data is entered, its background color changes.</t>
  </si>
  <si>
    <t>ZONE 3: COLUMNS FROM H TO U and row 5 down. This zone is dedicated to the coordinate system. All objects that are configured in columns A, B and C will appear in the coordinate system.system in this area, in this area you can also locate equations edited in the equation editor and saved in the 3DModels sheet, to do this write the equation number in parentheses in the format (Eq-3-1) , where the expression  (Eq- at the beginning is required, followed by any numerical value or letter. To view the equation, you need to press the corresponding button. The buttons for the equations for a new project will appear after exporting the code and entering it into ScienSolar.</t>
  </si>
  <si>
    <t>ZONE 4. COLUMNS FROM V TO AC. This area is free and can be dedicated to writing the theory about the model or instructions for its execution. In it you can write text directly in the cells. of the blank area, The information entered in these columns will be saved in the code of each project.</t>
  </si>
  <si>
    <t>ZONE 5: This zone includes the columns after column AD and are available for the user to perform calculations and place temporary formulas. However, the project code will not export the data or formulas entered in this area, after pressing the code button.</t>
  </si>
  <si>
    <t>ScienSolar uses this cell to initialize the program; do not delete or modify the contents of this cell.</t>
  </si>
  <si>
    <t>Get Code Button. This button is intended to export new or modified projects in the form of VBA code in a text file that is saved in the same folder in which the ScienSolar file is located. Read the instructions in the header of the exported file to find out how the project is integrated into the project list. When you press the button, it will ask you for the name of the text file that will be saved. As long as the code of a project is not copied in the VBA editor, this will not appear or be modified in ScienSolar. The cell is also used by the program and contains the number of the project that is selected in the project list.Note: Keep in mind that when exporting the code, some special characters (such as accent marks or symbols) may not work correctly in some operating systems. It is recommended when exporting not to include special characters in the file name.</t>
  </si>
  <si>
    <t>This cell is occupied and is used to indicate the number of vectors or objects that are in the coordinate system. This number is used by the code to display/collect the settings menu.</t>
  </si>
  <si>
    <t>When a vector or object is loaded into the coordinate system, this cell indicates the number of the consecutive vector.BUTTON ON THE LEFT: is used to enable/disable the vector thickness and its history.BUTTON ON THE RIGHT is used to compress or expand the configuration cells of each vector.The first vector button will display or compress the settings for all vectors.BUTTON ON THE RIGHT WHEN THERE IS DATA is used to clean the data table.PROPERTIES: The value 0 in this cell does not put the vector in the coordinate system, although it does take into account the parameters and formulas found in its configuration, which is useful in some cases,for example when you do not want to display the vector or when the number of vectors is large and you want to reduce the execution time. The numbers in these cells must be consecutively ascending and must not be repeated.</t>
  </si>
  <si>
    <t>This cell is used by ScienSolar to indicate whether the vector configuration is unfolded or folded. A value of 0 indicates folded and a value of 1 displays. Do not modify the value of this cell.</t>
  </si>
  <si>
    <t>The value indicated here represents the number of objects (vectors) cloned for the given vector. When the option of this vector is FIELD MODE the number is greater than 1, otherwise it is equal to 1. PROPERTIES: When you are working in field mode and the number of objects loaded on the sheet is very large, to delete them immediately, place a number greater than 5000 in this cell and press an update button. Otherwise, do not modify this cell.</t>
  </si>
  <si>
    <t>This cell is free when the vector (183) is used. PROPERTIES: When a 3D object is loaded (200) this cell is used to enter the rotation angle of the object. As an example see vector number 2 of the 3D Model project (press Run on that project).</t>
  </si>
  <si>
    <t xml:space="preserve">This cell indicates the initial position on the X axis of the current vector. When working in FIELD mode, the code automatically deletes the data in this cell and replaces it with =A11, since in A11 all the initial values of the X coordinates of the field vectors given for a range in the X coordinate will be traversed (in field mode). In this cell the user can enter constant values as well as functions.To see how it works, in a new ScienSolar sheet add a new vector and put in A12 = 4, B12 = 3, C12 = 0. Press XYZ, Put in other values and observe the changes in the coordinate system. </t>
  </si>
  <si>
    <t>This cell is used by the code when working in FIELD MODE to cycle through all the coordinate values as variables. In other words, this cell is equivalent to the variable X when working with a function f(x). As an example of using this cell, see the ELECTRIC DIPOLE, CYLINDRICAL SYMMETRY and SPHERICAL SYMMETRY projects. For scalar fields, see the FUNCTIONS project.</t>
  </si>
  <si>
    <t>In this cell the value of the coordinate on the X axis of the vector is entered. When working in FIELD MODE, the function corresponding to the X axis of the vector field is entered here. As an example of use of this cell see the ELECTRICAL DIPOLE, CYLINDRICAL SYMMETRY and SPHERICAL SYMMETRY projects. For scalar fields see the FUNCTIONS project.</t>
  </si>
  <si>
    <t>Vector tail. When using a conventional vector (183), the shape of the vector tail can be changed. Some shapes other than 183 can also obey this cell. The Allowed values are 1 to 6. Functions can also be introduced that change this value automatically.</t>
  </si>
  <si>
    <t>Vector head. When using a conventional vector (183), the shape of the vector head can be changed. Some shapes other than 183 can also obey this cell. The Allowed values are 1 to 6. Formulas can also be entered that change this value automatically.</t>
  </si>
  <si>
    <t>Celda libre.</t>
  </si>
  <si>
    <t>Esta celda tiene como objetivo indicar la cantidad de objetos que desea agregar o eliminar presionando una vez el botón respectivo. Indique un número entero o deje en blanco.</t>
  </si>
  <si>
    <t xml:space="preserve">En un proyecto en particular se pueden configurar paquetes de celdas que representen objetos más complejos que un simple vector. Utilice estos botones para agregar o quitar estos objetos del modelo. Especifique en esta celda el número de fila en el que empezará el objeto. Para ver cómo funciona este botón y esta celda, acuda al proyecto PIRÁMIDE 3D. </t>
  </si>
  <si>
    <t>ETIQUETA DEL VECTOR. Ingrese aquí la etiqueta del vector que aparecerá en el sistema de coordenadas al lado del vector. PROPIEDADES: Si no se introduce ningún valor, el vector aparecerá sin etiqueta en el sistema de coordenadas. También se pueden introducir funciones de etiquetas variables, ver ejemplo en el proyecto CUADRUPOLO para etiquetas de las cargas q1, q2, q3, q4.</t>
  </si>
  <si>
    <t>TIPO DE FORMA a representar en el sistema de coordenadas. La forma típica para ScienSolar es la de código 183. Esta forma está elaborada en ScienSolar para que represente perfectamente a un vector. Sin embargo se pueden utilizar otras formas para otros fines, pero cabe resaltar que para otros códigos diferentes a 183 las rotaciones  no funcionan correctamente. PROPIEDADES: se aceptan valores desde 1 hasta 183, los valores negativos congelan sus dimensiones y no obedecen a la rotación.  Valor 183 para vectores. Valor 146 para un punto en el espacio. Valor 200 para cargar un objeto 3D de la hoja 3DModels, con ello indicando en la etiqueta del vector el nombre del objeto (ver como ejemplo el vector 2 del proyecto MODELO 3D). Para visualizar  fácilmente todas las formas haga lo siguiente: oprima RESET (RESTABLECER), luego +VECTOR e introduzca los siguientes valores:  B7 =I5,  I3=1, I4=200, E5=60 y oprima el botón --&gt; para navegar por los diferentes valores de I5, es decir de B7.  El valor B=-114  permite cargar un cuadro de texto con indicador de una celda, por ejemplo B=-114 (negativo), B9=15 y C9=4 ubicará el indicador en la celda que está en la fila 15 y la columna 4.</t>
  </si>
  <si>
    <t xml:space="preserve">TIPO DE LÍNEA DEL VECTOR_x000D_Para línea continua se introduce 1 y para diferentes tipos de línea punteada del 2 al 12._x000D__x000D_CONTROL DEL TAMAÑO DEL VECTOR EN EL SISTEMA DE COORDENADAS_x000D_Si el valor de esta celda es de la forma 60*4, en donde en lugar de 60 se introduce cualquier número  mayor que 15, se indica con esto el porcentaje del vector con respecto al tamaño de los ejes, y en lugar de 4 cualquier número  que indica el grado de agudeza con que la función del campo cambia. Utilice esta configuración especialmente en modo campo para controlar que el tamaño de los vectores no sobrepase el tamaño del sistema de coordenadas, y la función campo adquiera suavidad. Controle esta suavidad con el segundo número. Para que esta función se active es necesario el formato 60*4 (el asterisco es obligatorio, y sin el signo igual). Nota: esta función puede cambiar la apariencia real de los vectores. </t>
  </si>
  <si>
    <t>Celda libre para la forma 183. Para la forma 200 se introduce aquí el otro ángulo de rotación del objeto 3D (ver proyecto MODELO 3D, vector2). Para la forma -114 se introduce aquí la fila de posición del indicador.</t>
  </si>
  <si>
    <t xml:space="preserve">Esta celda indica la posición inicial en el eje Y del vector actual. Cuando se trabaja en modo CAMPO, el código automáticamente borra los datos de esta celda y los reemplaza por =B11, puesto que en B11 se recorrerán (en modo campo) todos los valores iniciales de las coordenadas en Y de los vectores del campo dados para un rango en la coordenada Y. En esta celda el usuario puede introducir valores constantes así como funciones.Para ver como funciona, en una nueva hoja de ScienSolar agregue un nuevo vector y en A12 = 4, B12= 3, C12 = 0. Oprima XYZ, Ponga otros valores y observe los cambios en el sistema de coordenadas. </t>
  </si>
  <si>
    <t>Esta celda es usada por el código cuando se trabaja en MODO CAMPO para recorrer todos los valores de las coordenadas como variables. Dicho de otra manera, esta celda equivale a la variable y cuando se trabaja con una función f(y). Como ejemplo de uso de esta celda ver los proyectos DIPOLO ELÉCTRICO, SIMETRÍA CILÍNDRICA y SIMETRÍA ESFÉRICA. Para campos escalares ver el proyecto FUNCIONES.</t>
  </si>
  <si>
    <t>En esta celda se introduce el valor de la coordenada en el eje Y del vector. Cuando se trabaja en MODO CAMPO, se introduce aquí la función correspondiente al eje Y del campo vectorial. Como ejemplo de uso de esta celda ver los proyectos DIPOLO ELÉCTRICO, SIMETRÍA CILÍNDRICA y SIMETRÍA ESFÉRICA. Para campos escalares ver el proyecto FUNCIONES.</t>
  </si>
  <si>
    <t xml:space="preserve">NÚMERO DE FILA para el inicio de una tabla de salida de datos durante la ejecución de un modelo. El número de columnas que tendrá la tabla es 9 con las coordenadas iniciales, finales y dos celdas más para fórmulas adicionales. El número de filas depende de la resolución de toma de datos del problema en particular. Para ver cómo funciona esta celda oprima New Sheet (Nueva hoja) seleccione el proyecto MOVIMIENTO PARABÓLICO de la lista y oprima +VECTOR, luego, para el vector velocidad coloque B40=30, B41=10, D41=a y E41=b; oprima Ejecutar (Run). Aparecerá, a partir de la celda indicada, una tabla con los datos de la simulación. La tabla sepuede borrar simplemente OPRIMIENO EL BOTÓN EN LA COLUMNA A DE ESTE VECTOR. En lugar de las letras a y b se pueden introducir otras funciones. El valor 0 para esta celda deshabilita esta función. Solo se aceptan valores numéricos positivos. Los datos pueden ser usados para otros estudios en Excel u otros programas de análisis de datos. </t>
  </si>
  <si>
    <t xml:space="preserve">NÚMERO DE COLUMNA para el inicio de una tabla de salida de datos durante la ejecución de un modelo. El número de columnas que tendrá la tabla es 9 con las coordenadas iniciales, finales y dos celdas más para fórmulas adicionales. El número de filas depende de la resolución de toma de datos del problema en particular. Para ver cómo funciona esta celda oprima New Sheet (Nueva hoja) seleccione el proyecto MOVIMIENTO PARABÓLICO de la lista y oprima +VECTOR, luego, para el vector velocidad coloque B40=25, B41=7, D41=a y E41=b; oprima Ejecutar (Run). Aparecerá, a partir de la celda indicada, una tabla con los datos de la simulación. La tabla sepuede borrar simplemente OPRIMIENO EL BOTÓN EN LA COLUMNA A DE ESTE VECTOR. En lugar de las letras a y b se pueden introducir otras funciones. El valor 0 para esta celda deshabilita esta función. Solo se aceptan valores numéricos positivos. Los datos pueden ser usados para otros estudios en Excel u otros programas de análisis de datos. </t>
  </si>
  <si>
    <t>This cell is intended to indicate the number of objects you want to add or delete by pressing the respective button once. Enter an integer or leave blank.</t>
  </si>
  <si>
    <t>In a particular project, packages of cells can be configured that represent more complex objects than a simple vector. Use these buttons to add or remove these objects from the model. Specify in this cell the row number at which the object will start. To see how this button and this cell work, go to the 3D PYRAMID project.</t>
  </si>
  <si>
    <t>VECTOR LABEL. Enter here the vector label that will appear in the coordinate system next to the vector. PROPERTIES: If no value is entered, the vector will appear without a label in the system. You can also introduce variable label functions, see example in the QUADRUPOLE project for labels of the electric charges q1, q2, q3, q4.</t>
  </si>
  <si>
    <t>TYPE OF SHAPE to be represented in the coordinate system. The shape that is pre-established for ScienSolar is code 183.This shape is created in ScienSolar so that it perfectly represents a vector. However, you can use other forms for other purposes, but it should be noted that for codes other than 183 the rotations do not work correctly. PROPERTIES: values from 1 to 183 are accepted, negative values freeze their dimensions and do not obey rotation. Value 183 for vectors. Value 146 for a point in space. Value 200 to load a 3D object from the 3DModels sheet, thereby indicating the name of the object in the vector label (see as an example vector 2 of the 3D MODEL project). To easily view all shapes do the following: press RESET, then +VECTOR and enter the following values: B7 =I5, I3=1, I4=200, E5=60 and press the button --&gt; to navigate through the different values of I5, that is, B7. The value B=-114 allows loading a text box with indicator of a cell, for example B=-114 (negative), B9=15 and C9=4 will place the text box indicator in the cell that is in row 15 and column 4.</t>
  </si>
  <si>
    <t xml:space="preserve">VECTOR LINE TYPE_x000D_For a solid line, enter 1 and for different types of dotted lines, enter 2 to 12._x000D__x000D_CONTROL OF THE VECTOR SIZE IN THE COORDINATE SYSTEM_x000D_Change the size of the vectors by entering in the value of this cell an expression of the form 60*4, where instead of 60 any number greater than 15 is entered, thus indicating the percentage of the vector with respect to the size of the axes, and instead of 4 any number that indicates how sharply the field function changes. Use this setting especially in field mode to control that the size of the vectors does not exceed the size of the system coordinates, and the function of the field is controlled with the second number. For this function to be activated, the format 60*4 is required (the asterisk is mandatory, and without the equal sign). Remark: This function can change the actual appearance of the vectors. </t>
  </si>
  <si>
    <t>Free cell for shape 183. For shape 200, the other rotation angle of the 3D object is entered here (see 3D MODEL project, vector2). For shape -114, the indicator position row.</t>
  </si>
  <si>
    <t xml:space="preserve">This cell indicates the initial position on the Y axis of the current vector. When working in FIELD mode, the code automatically deletes the data in this cell and replaces it with =B11, since in B11 all the initial values of the Y coordinates of the given field vectors will be traversed (in field mode) for a range in the Y coordinate. In this cell the user can enter constant values as well as functions.To see how it works, in a new ScienSolar sheet add a new vector and put in A12 = 4, B12 = 3, C12 = 0. Press XYZ, Put in other values and observe the changes in the coordinate system. </t>
  </si>
  <si>
    <t>This cell is used by the code when working in FIELD MODE to cycle through all coordinate values as variables. In other words, this cell is equivalent to the Y variable when working with a function f(y). As an example of using this cell, see the ELECTRIC DIPOLE, CYLINDRICAL SYMMETRY and SPHERICAL SYMMETRY projects. For scalar fields, see the FUNCTIONS project.</t>
  </si>
  <si>
    <t>In this cell the value of the coordinate on the Y axis of the vector is entered. When working in FIELD MODE, the function corresponding to the Y axis of the vector field is entered here. As an example of use of this cell see the ELECTRICAL DIPOLE, CYLINDRICAL SYMMETRY and SPHERICAL SYMMETRY projects. For scalar fields see the FUNCTIONS project.</t>
  </si>
  <si>
    <t>ROW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B40=30, B41=10, D41=a and E41=b; press Run. A table with the simulation data will appear from the indicated cell. The table can be deleted simply by pressing the BUTTON IN COLUMN A of this vector. The value 0 for this cell disables this function. Only positive numerical values are accepted. The data can be used for other studies in Excel or other data analysis programs.</t>
  </si>
  <si>
    <t>COLUMN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B40=25, B41=10, D41=a and E41=b; press Run. A table with the simulation data will appear from the indicated cell. The table HEcan be deleted simply by by pressing the BUTTON IN COLUMN A of this vector. The value 0 for this cell disables this function. Only positive numerical values are accepted. The data can be used for other studies in Excel or other data analysis programs.</t>
  </si>
  <si>
    <t>Etiqueta predeterminada del vector nuevo que se va a descargar. Esta celda no requiere ninguna acción. Para ver como funciona, en una nueva hoja escriba en esta celda la letra E y oprima +Vector.</t>
  </si>
  <si>
    <t>Color del vector o de la forma que se carga al sistema de coordenadas. Cambie el color de fondo de esta celda con la respectiva herramienta de Excel  y cambiará el color del vector (luego de oprimir XYZ). Esta celda está libre para utilizarla con datos o fórmulas. Para ver cómo funciona,  en una nueva hoja de ScienSolar oprima +Vector, luego cambie el color de esta celda y oprima XYZ. Cambie el código de la forma a 114 (en lugar de 183), oprima YZ, cambie el color y vuelva a oprimir YZ.</t>
  </si>
  <si>
    <t>MODO CAMPO. Posibles valores:_x000D_o --&gt; coordenadas cartesianas,_x000D_c --&gt; coordenadas cilíndricas,_x000D_s --&gt; coordenadas esféricas,_x000D_vacía --&gt; modo campo deshabilitado._x000D__x000D_Una vez ingresado uno de estos valores (en minúscula y sin el signo igual), oprimiendo XYZ aparecerá una cadena de valores que se explica a continuación. Se deben modificar únicamente los valores entre corchetes de acuerdo a las unidades de las coordenadas:_x000D__x000D_COORDENADAS CARTESIANAS:_x000D_o[5]x=[40;40] --&gt; paso y rango en x,_x000D_o2[20]y=[-100;100] --&gt; paso y rango en y,_x000D_o3[40]z=[0;100] --&gt; paso y rango en z,_x000D__x000D_COORDENADAS CILÍNDRICAS:_x000D_c[5]rho=[40;40] --&gt; paso y rango en rho,_x000D_c2[20]phi=[0;360] --&gt; paso y rango en phi,_x000D_c3[40]z=[0;100] --&gt; paso y rango en z,_x000D__x000D_COORDENADAS ESFÉRICAS:_x000D_s[5]r=[40;40] --&gt; paso y rango en r,_x000D_s2[20]phi=[180;270] --&gt; paso y rango en phi,_x000D_s3[5]theta=[0;90] --&gt; paso y rango en theta,_x000D__x000D_color=[80] --&gt; magnitud aproximada del mayor vector para distribuir el gradiente de color en todos los vectores de acuerdo a su magnitud,_x000D_[cart.]=[0;0;0] --&gt; corrimiento del origen de coordenadas con respecto al original,_x000D_tfactor=0,001386089s --&gt; información del tiempo de puesta de un solo vector en la hoja. No requiere ninguna acción._x000D__x000D_PROPIEDADES: Esta celda sólo puede ser usada para clonar los vectores en el espacio tridimensional. Cuando está vacía, su función se inactiva. La distribución de los vectores se puede hacer de tres maneras: a través de coordenadas cartesianas, cilíndricas o esféricas. Ejemplos de aplicación de esta función se pueden ver en en el vector 5 del proyecto DIPOLO ELÉCTRICO y una forma más avanzada de su uso en los proyectos DIPOLO ELÉCTRICO, SIMETRÍA PLANA, SIMETRÍA CILÍNDRICA y SIMETRÍA ESFÉRICA.</t>
  </si>
  <si>
    <t xml:space="preserve">Transparencia del vector en curso. Se aceptan valores positivos decimales desde 0 hasta 1, en donde con el valor 0 no tiene transparencia y con el valor 1 su transparencia es total. Esta función es útil por ejemplo para vectores auxiliares que no hacen parte del problema directamente.  </t>
  </si>
  <si>
    <t>Celda libre para la forma 183. Para la forma -114 se introduce aquí la columna de posición del indicador (la fila se introduce en la celda contigua de la izquierda.) _x000D__x000D_Para ver cómo funciona, abra una nueva hoja de ScienSolar, oprima +Vector para agregar un nuevo vector y coloque (con signo menos) B7=-114, B9=6,C9=3 con el propósito de apuntar a la celda del color. Oprima YZ para ver el resultado. Cambie los valores B9=8,C9=5 para apuntar a la celda que se encuentra en la fila 8, columna 5. Coloque B10=3 C10=3 para cambiar la posición del cuadrado. Coloque B12=8, C12=3 para cambiar su tamaño. Oprima YZ para ver el resultado. Oprima &gt;&gt;C para rotar el sistema de coordenadas. Quite el signo menos en B7, B7=114. Oprima de nuevo &gt;&gt;C para ver la diferencia.</t>
  </si>
  <si>
    <t xml:space="preserve">Esta celda indica la posición inicial en el eje Z del vector actual. Cuando se trabaja en modo CAMPO, el código automáticamente borra los datos de esta celda y los reemplaza por =C11, puesto que en C11 se recorrerán (en modo campo) todos los valores iniciales de las coordenadas en Z de los vectores del campo dados para un rango en la coordenada Z. En esta celda el usuario puede introducir valores constantes así como funciones._x000D__x000D_ Para ver como funciona, en una nueva hoja de ScienSolar agregue un nuevo vector y en A12 = 4, B12= 3, C12 = 0. Oprima XYZ. Ponga otros valores y observe los cambios en el sistema de coordenadas. </t>
  </si>
  <si>
    <t>Esta celda es usada por el código cuando se trabaja en MODO CAMPO para recorrer todos los valores de las coordenadas como variables. Dicho de otra manera, esta celda equivale a la variable z cuando se trabaja con una función f(z). Como ejemplo de uso de esta celda ver los proyectos DIPOLO ELÉCTRICO, SIMETRÍA CILÍNDRICA y SIMETRÍA ESFÉRICA. Para campos escalares ver el proyecto FUNCIONES.</t>
  </si>
  <si>
    <t>En esta celda se introduce el valor de la coordenada en el eje Z del vector. Cuando se trabaja en MODO CAMPO, se introduce aquí la función correspondiente al eje Z del campo vectorial. Como ejemplo de uso de esta celda ver los proyectos  DIPOLO ELÉCTRICO, SIMETRÍA CILÍNDRICA y SIMETRÍA ESFÉRICA. Para campos escalares ver el proyecto FUNCIONES.</t>
  </si>
  <si>
    <t xml:space="preserve">Celda de HISTORIA del vector. Posibles valores 1 y 2.  Con el valor 2 el vector dejará huella de su recorrido en la hoja de cálculo, lo cual es visible cuando el vector cambia de posición. Cuando se coloca el valor 1 después de haber tenido el valor 2, los vectores antiguos irán desapareciendo de forma paulatina cuando se ejecuta alguna acción. _x000D__x000D_Para ver como trabaja, en una hoja nueva de ScienSolar agregue un vector (oprimiendo el botón +Vector) e ingrese el número 2 en la celda C13=2. Oprima el botón de rotación &gt;&gt;C. Ahora cambie las posiciones iniciales del vector y sus coordenadas y vuelva a oprimir &gt;&gt;C.  Observará que aparece en el sistema de coordenadas un abanico de vectores. Posteriormente ingrese  C13=1 y oprima &gt;&gt;C para ver desaparecer los vectores paulatinamente. Oprima de nuevo &gt;&gt;C para su total desaparición.  Si desea que los vectores desaparezcan instantáneamente, debe colocar en la celda A8 un valor mayor a 5000, por ejemplo A8=6000 y oprimir cualquier botón de actualización. </t>
  </si>
  <si>
    <t xml:space="preserve">Grosor del vector. El valor predeterminado es 1. Para vectores más gruesos coloque un valor mayor que 1. Aquí, como en otras celdas de configuración, se pueden ingresar fórmulas dinámicas que cambian la apariencia de los vectores dependiendo de ciertos parámetros particulares para cada proyecto. </t>
  </si>
  <si>
    <t>In a particular project, packages of cells can be configured that represent more complex objects than a simple vector. Use these buttons to add or remove these objects from the model. Specify in this cell the row number at which the object will end. To see how this button and this cell work, go to the 3D PYRAMID project.</t>
  </si>
  <si>
    <t>Default label of the new vector to be downloaded. This cell requires no action. To see how this works, in a new sheet, type the letter E in this cell and press +Vector.</t>
  </si>
  <si>
    <t xml:space="preserve">Color of the vector or shape that is loaded into the coordinate system. Change the background color of this cell with the respective Excel tool and will change the color of the vector (after pressing XYZ). This cell is free to use with data or formulas. To see how it works, in a new ScienSolar sheet press +Vector, then change the color of this cell and press XYZ. Change the shape code to 114 (instead of 183), press YZ, change the color and press YZ again. </t>
  </si>
  <si>
    <t>FIELD MODE. Possible values:_x000D_o --&gt; Cartesian Coordinates,_x000D_c --&gt; Cylindrical Coordinates,_x000D_s --&gt; Spherical Coordinates,_x000D_empty --&gt; Field Mode disabled._x000D__x000D_Once one of these values has been entered (in lower case and without the equal sign), pressing XYZ will display a string of values explained below. Only the values in brackets should be modified according to the units of the coordinates:_x000D__x000D_CARTESIAN COORDINATES:_x000D_o[5]x=[40;40] --&gt; Step and range in x,_x000D_o2[20]y=[-100;100] --&gt; Step and range in y,_x000D_o3[40]z=[0;100] --&gt; Step and range in z,_x000D__x000D_CYLINDRICAL COORDINATES:_x000D_c[5]rho=[40;40] --&gt; Step and range in rho,_x000D_c2[20]phi=[0;360] --&gt; Step and range in phi,_x000D_c3[40]z=[0;100] --&gt; Step and range in z,_x000D__x000D_SPHERICAL COORDINATES:_x000D_s[5]r=[40;40] --&gt; Step and range in r,_x000D_s2[20]phi=[180;270] --&gt; Step and range in phi,_x000D_s3[5]theta=[0;90] --&gt; Step and range in theta,_x000D__x000D_color=[80] --&gt; Approximate magnitude of the largest vector to distribute the color gradient in all vectors according to their magnitude,_x000D_[cart.]=[0;0;0] --&gt; Shift of the origin of coordinates with respect to the original,_x000D_tfactor=0.001386089s --&gt; Information on the time of placing a single vector on the sheet. No action required._x000D__x000D_PROPERTIES: This cell can only be used to clone the vectors in three-dimensional space. When it is empty, its function is inactive. The distribution of the vectors can be done in three ways: through Cartesian, cylindrical or spherical coordinates. Examples of application of this function can be seen in vector 5 of the ELECTRIC DIPOLE project and a more advanced form of its use in projectsELECTRIC DIPOLE, PLANE SYMMETRY, CYLINDRICAL SYMMETRY and SPHERICAL SYMMETRY.</t>
  </si>
  <si>
    <t>Transparency of the current vector. Positive decimal values are accepted from 0 to 1, where with the value 0 it has no transparency and with the value 1 its transparency is total. This function is useful for example for auxiliary vectors that are not directly part of the problem.</t>
  </si>
  <si>
    <t>Free cell for form 183. For form -114, the indicator position column is entered here (the row is entered in the adjacent cell on the left.) _x000D__x000D_To see how it works, open a new ScienSolar sheet, press +Vector to add a new vector and place (with minus sign) B7=-114, B9=6,C9= 3 for the purpose of targeting the color cell.Press YZ to see the result. Change the values B9=8,C9=5 to point to the cell in row 8, column 5. Set B10=3 to C10=3 to change the position of the square.Set B12=8, C12=3 to resize. Press YZ to see the result. Press &gt;&gt;C to rotate the coordinate system. Remove the minus sign at B7, B7=114. Press &gt;&gt;C again to see the difference.</t>
  </si>
  <si>
    <t>This cell indicates the initial position on the Z axis of the current vector. When working in FIELD mode, the code automatically deletes the data in this cell and replaces it with =C11, since in C11 will traverse (in field mode) all the initial values of the Z coordinates of the given field vectors for a range in the Z coordinate. In this cell the user can enter constant values as well as functions._x000D__x000D_ To see how it works, in a new ScienSolar sheet add a new vector and set A12 = 4, B12 = 3, C12 = 0. Press the XYZ button. Enter other values and observe the changes in the coordinate system.</t>
  </si>
  <si>
    <t>This cell is used by the code when working in FIELD MODE to cycle through all the coordinate values as variables. In other words, this cell is equivalent to the variable z when working with a function f(z). As an example of using this cell, see the ELECTRICAL DIPOLE, CYLINDRICAL SYMMETRY and SPHERICAL SYMMETRY projects. For scalar fields, see the FUNCTIONS project.</t>
  </si>
  <si>
    <t>In this cell the value of the coordinate on the Z axis of the vector is entered. When working in FIELD MODE, the function corresponding to the Z axis of the vector field is entered here. As an example of use of this cell see the ELECTRICAL DIPOLE, CYLINDRICAL SYMMETRY and SPHERICAL SYMMETRY projects. For scalar fields see the FUNCTIONS project.</t>
  </si>
  <si>
    <t>Vector HISTORY cell. Possible values 1 and 2. With the value 2 the vector will leave a trace of its path in the spreadsheet, which is visible when the vector changes position. When the value 1 is placed after having had the value 2, the old vectors will disappear from gradually when some action is executed._x000D__x000D_To see how it works, in a new ScienSolar sheet add a vector (by pressing the +Vector button) and enter the number 2 in cell C13=2. Press the rotate button &gt;&gt;C. Now change the initial positions of the vector and its coordinates and press &gt;&gt;C again. You will notice that a set of vectors appears in the coordinate system. Then enter C13=1 and press &gt;&gt;C to see the vectors gradually disappear. Press &gt;&gt;C again for their complete disappearance. If you want the vectors to disappear instantly, you must enter a value greater than 5000 in cell A8, for example A8=6000, and press any refresh button.</t>
  </si>
  <si>
    <t>Vector thickness. The default value is 1. For thicker vectors enter a value greater than 1. Here, as in other configuration cells, dynamic formulas can be entered that change the appearance of the vectors depending on certain particular parameters for each project.</t>
  </si>
  <si>
    <t xml:space="preserve">Celda utilizada por el botón B/W para indicar el formato del fondo de la hoja. Oprima B/W para ver los cambios, este proceso no afecta en escencia los proyectos, sino que permite cambiar su apariencia. Las apariencias del fondo se pueden guardar en el código de los proyectos. </t>
  </si>
  <si>
    <t>Cell used by the B/W button to indicate the format of the sheet background. Press B/W to see the changes, this process does not essentially affect the projects, but rather allows you to change its appearance. Background appearances can be saved in the projects code.</t>
  </si>
  <si>
    <t>Posición horizontal, en puntos de Excel, del origen de coordenadas. Cada proyecto puede personalizar y guardar este valor en el código. Al cambiar este valor, automáticamente se actualizarán las posiciones de los objetos que se encuentran en el sistema de coordenadas. Las unidades en las que trabaja ScienSolar es en puntos. Para visualizar su magnitud, oprima YZ y verá la longitud del eje correspondiente a la mostrada en la celda Longitud de los ejes. _x000D_Los valores predeterminados y el lenguaje del panel del control se pueden personalizar en la hoja CONFIG.</t>
  </si>
  <si>
    <t>Posición vertical, en puntos de Excel, del origen de coordenadas. Cada proyecto puede personalizar y guardar este valor en el código. Al cambiar este valor, automáticamente se actualizarán las posiciones de los objetos que se encuentren en el sistema de coordenadas. Las unidades en las que trabaja ScienSolar es en puntos. Para visualizar su magnitud, oprima YZ y verá la longitud del eje correspondiente a la mostrada en la celda Longitud de los ejes._x000D_Los valores predeterminados y el lenguaje del panel del control se pueden personalizar en la hoja CONFIG, en la misma celda.</t>
  </si>
  <si>
    <t>Escala de los vectores u objetos que se encuentran en el sistema de coordenadas. El valor 1 corresponde a la escala 1:1, es decir que los vectores están en la misma escala de los ejes de coordenadas; un valor mayor a 1 quiere decir que las coordenadas y posiciones de los vectores se multiplicarán por ese valor. Se pueden utilizar también valores fraccionarios. Esta celda se utiliza en algunos casos para ajustar el proyecto al sistema de coordenadas._x000D_Los valores predeterminados y el lenguaje del panel del control se pueden personalizar en la hoja CONFIG.</t>
  </si>
  <si>
    <t>Longitud de los ejes en puntos de Excel. Para visualizar su magnitud, oprima YZ y verá la longitud del eje correspondiente a la mostrada en esta celda. Todos los ejes tienen la misma longitud. Este valor puede personalizarse para cada proyecto.</t>
  </si>
  <si>
    <t>Horizontal position, in Excel points, of the coordinate origin. Each project can customize and save this value in the code. Changing this value will automatically update the positions of the system objects _x000D_The default values and language of the control panel can be customized in the CONFIG sheet.</t>
  </si>
  <si>
    <t>Vertical position, in Excel points, of the coordinate origin. Each project can customize and save this value in the code. Changing this value will automatically update the positions of the system objects of coordinates. The units in which ScienSolar works is in points. To view its magnitude, press YZ and you will see the length of the axis corresponding to that shown in the Length of the axes cell._x000D_The default values and language of the control panel can be customized in the CONFIG sheet,</t>
  </si>
  <si>
    <t>Scale of the vectors or objects that are in the coordinate system. The value 1 corresponds to the 1:1 scale, that is, the vectors are on the same scale as the axes of coordinates; a value greater than 1 means that the coordinates and positions of the vectors will be multiplied by that value. Fractional values can also be used. This cell is used in some cases to adjust the project to the coordinate system._x000D_The default values and language of the control panel can be customized on the CONFIG sheet, in the same cell.</t>
  </si>
  <si>
    <t>Length of the axes in Excel points. To view their magnitude, press YZ and you will see the length of the axis corresponding to the one shown in this cell. All axes have the same length. This value can be customized for each project.</t>
  </si>
  <si>
    <t>Botón B/W (Black / White). Este botón permite cambiar el color del fondo del sistema de coordenadas. Existen tres configuraciones del fondo. El botón se puede usar en cualquier momento durante el trabajo con los proyectos y no influye sobre las ecuaciones ni los datos. También es posible guardar alguna de las tres configuraciones en el código para cada proyecto, de tal manera que cuando se cargue el proyecto lo haga con su fondo personalizado. Este botón está vinculado a la celda D2 para su correcto funcionamiento.</t>
  </si>
  <si>
    <t xml:space="preserve">COLOR de las ETIQUETAS. ACTUALIZAR HOJA.  Con la herramienta convencional de Excel cambie el color de fondo de esta celda y con ello cambiará el color de todas las etiquetas de los objetos que se encuentran en la hoja, incluyendo las etiquetas de los ejes. Para invisibilizar las etiquetas ponga un color igual al color del fondo. El botón que aparece en esta celda se utiliza para actualizar cambios que se hayan hecho en la configuración del proyecto o luego de ingresar de datos. </t>
  </si>
  <si>
    <t>NOMBRE y COLOR  del EJE X.  ROTACIÓN en X. Con la herramienta convencional de Excel cambie el color de fondo de esta celda para cambiar el color del eje X. También puede personalizar el nombre del eje X. Para invisibilizar el eje ponga aquí el mismo color del fondo.  El botón &gt;&gt;A rotará consecutivamente el sistema de coordenadas alrededor del eje X (en la posición YZ) el número de veces indicado en la celda I4 con un paso en grados indicado en la celda I3.</t>
  </si>
  <si>
    <t>NOMBRE y COLOR  del EJE Y.  ROTACIÓN en Y. Con la herramienta convencional de Excel cambie el color de fondo de esta celda para cambiar el color del eje Y. También puede personalizar el nombre del eje Y. Para invisibilizar el eje ponga aquí el mismo color del fondo.  El botón &gt;&gt;B rotará consecutivamente el sistema de coordenadas alrededor del eje Y (en la posición YZ) el número de veces indicado en la celda I4 con un paso en grados indicado en la celda I3.</t>
  </si>
  <si>
    <t>NOMBRE y COLOR  del EJE Z.  ROTACIÓN en Z. Con la herramienta convencional de Excel cambie el color de fondo de esta celda para cambiar el color del eje Z. También puede personalizar el nombre del eje Z. Para invisibilizar el eje ponga aquí el mismo color del fondo.  El botón &gt;&gt;C rotará consecutivamente el sistema de coordenadas alrededor del eje Z (en la posición YZ) el número de veces indicado en la celda I4 con un paso en grados indicado en la celda I3.</t>
  </si>
  <si>
    <t>B/W (Black / White) button. This button allows you to change the background color of the coordinate system. There are three background settings. The button can be used at any time during work with the projects and does not influence the equations or the data. It is also possible to save any of the three configurations in the code for each project, so that when the project is loaded it does so with its personalized background. This button is linked to cell D2 for correct operation.</t>
  </si>
  <si>
    <t xml:space="preserve">COLOR of the LABELS. UPDATE SHEET. With the conventional Excel tool change the background color of this cell and with this it will change the color of all the labels of the objects that are in the sheet, including the axis labels. To make the labels invisible, set a color equal to the background color. The button that appears in this cell is used to update changes that have been made in the project configuration or after entering data. </t>
  </si>
  <si>
    <t>NAME and COLOR of the X AXIS. ROTATION in X. With the Excel conventional tool change the background color of this cell to change the color of the X axis. You can also customize the name of the axis X. To make the axis invisible, put the same background color here. The &gt;&gt;A button will consecutively rotate the coordinate system around the X axis (in the YZ position) the number of times indicated in cell I4 with a step in degrees indicated in cell I3</t>
  </si>
  <si>
    <t>NAME and COLOR of the Y AXIS. ROTATION in Y. With the Excel conventional tool change the background color of this cell to change the color of the Y axis. You can also customize the name of the axis Y. To make the axis invisible, put the same background color here. The &gt;&gt;B button will consecutively rotate the coordinate system around the Y axis (in the YZ position) the number of times indicated in cell I4 with a step in degrees indicated in cell I3.</t>
  </si>
  <si>
    <t>NAME and COLOR of the Z AXIS. ROTATION in Z. With the Excel conventional tool change the background color of this cell to change the color of the Z axis. You can also customize the name of the axis Z. To make the axis invisible, put the same background color here. The &gt;&gt;C button will consecutively rotate the coordinate system around the Z axis (in the YZ position) the number of times indicated in cell I4 with a step in degrees indicated in cell I3.</t>
  </si>
  <si>
    <t>Vista XYZ personalizada, con rotación en x de o, en y de 15 y en z de 15 grados. _x000D_Vista YZ personalizada, con rotación en x de 0, en y de 0 y en z de 0 grados. _x000D_Los valores predeterminados y el lenguaje del panel del control se pueden personalizar en la hoja CONFIG, en la misma celda.</t>
  </si>
  <si>
    <t>Vista XY personalizada desde ARRIB con rotación en x de 0, en y de 90 y en z de 0 grados. _x000D_Vista XZ personalizada, con rotación en x de 0, en y de 0 y en z de 90 grados. _x000D_Los valores predeterminados y el lenguaje del panel del control se pueden personalizar en la hoja CONFIG.</t>
  </si>
  <si>
    <t>Vista personalizada de rotación en X. Luego de personalizar el ángulo de rotación en X (en grados), para ver los cambios oprima el botón ubicado en F3._x000D_Los valores predeterminados y el lenguaje del panel del control se pueden personalizar en la hoja CONFIG.</t>
  </si>
  <si>
    <t>Vista personalizada de rotación en Y. Luego de personalizar el ángulo de rotación en Y  (en grados), para ver los cambios oprima el botón ubicado en F3._x000D_Los valores predeterminados y el lenguaje del panel del control se pueden personalizar en la hoja CONFIG.</t>
  </si>
  <si>
    <t>Vista personalizada de rotación en Z. Luego de personalizar el ángulo de rotación en Z (en grados), para ver los cambios oprima el botón ubicado en F3._x000D_Los valores predeterminados y el lenguaje del panel del control se pueden personalizar en la hoja CONFIG.</t>
  </si>
  <si>
    <t>MENÚ DE AYUDA: _x000D_   1. Seleccione la celda de la que necesita ayuda._x000D_   2. Oprima el botón de ayuda (?)._x000D_   3. Para ayuda sobre un botón seleccione la celda bajo este y oprima el botón de ayuda (?)._x000D_   4. Para ocultar la ayuda oprima el botón que se encuentra en F3._x000D__x000D_ Para consultar sobre un proyecto específico, coloque el cursor sobre la celda HELP y lea el comentario emergente.</t>
  </si>
  <si>
    <t>Custom XYZ view, with rotation in x of 0, in y of 15 and in z of 15 degrees. _x000D_Custom YZ view, with rotation in x of 0, in y of 0 and in z of 0 degrees. _x000D_The default values and language of the control panel can be customized in the CONFIG sheet.</t>
  </si>
  <si>
    <t>Custom XY view from ABOVE with rotation in x of 0, in y of 90 and in z of 0 degrees. _x000D_Custom XZ view, with rotation in x of 0, in y of 0 and in z of 90 degrees. _x000D_The default values and language of the control panel can be customized in the CONFIG sheet.</t>
  </si>
  <si>
    <t>Custom X rotation view. After customizing the X rotation angle (in degrees), to see the changes press the button located at F3._x000D_The default values and language of the control panel can be customized in the CONFIG sheet.</t>
  </si>
  <si>
    <t>Custom Y rotation view. After customizing the Y rotation angle (in degrees), to see the changes press the button located at F3._x000D_The default values and language of the control panel can be customized in the CONFIG sheet.</t>
  </si>
  <si>
    <t>Custom Z rotation view. After customizing the Z rotation angle (in degrees), to see the changes press the button located at F3._x000D_The default values and language of the control panel can be customized in the CONFIG sheet.</t>
  </si>
  <si>
    <t>HELP MENU: _x000D_ 1. Select the cell you need help with._x000D_ 2. Press the help button (?)._x000D_ 3. For help on a button, select the cell below it and press the help button (?)._x000D_ 4. To hide the help press the button located at F3._x000D__x000D_ To inquire about a specific project, place the cursor over the HELP cell and read the pop-up comment.</t>
  </si>
  <si>
    <t>En esta celda se introduce el valor del paso para una simulación dinámica, en donde cierto parámetro del modelo puede cambiar consecutivamente, como por ejemplo el parámetro del tiempo, en este caso aquí se introduce la unidad del tiempo, es decir 1. De forma preestablecida se introduce el valor predeterminado en la hoja CONFIG, pero usted puede cambiar este valor por el que sea necesario para su modelo. El número 8 preestablecido corresponde a 8 grados, pues 8 x 45 = 360, lo cual se utiliza frecuentemente para la rotación de los ejes.</t>
  </si>
  <si>
    <t>En esta celda se introduce el número de pasos para una simulación dinámica, en donde cierto parámetro del modelo puede cambiar consecutivamente, como por ejemplo el parámetro del tiempo, en este caso aquí se introduce la cantidad de segundos que durará la simulación, por defecto 45. De forma preestablecida se introduce el valor predeterminado en la hoja CONFIG, pero usted puede cambiar este valor por el que sea necesario para su modelo. El número 45 preestablecido se ajusta en grados a una vuelta completa, pues 8 x 45 = 360, lo cual se utiliza frecuentemente para la rotación de los ejes.</t>
  </si>
  <si>
    <t>En esta celda se introduce el parámetro para una simulación dinámica, el cual puede cambiar consecutivamente, como por ejemplo el parámetro del tiempo, en este caso aquí se introduce la variable t, es decir esta celda debe tener el lugar de la variable t de una ecuación matemática dinámica. Como ilustración del funcionamiento de esta celda se puede ver el proyecto MOVIMIENTO PARABÓLICO.</t>
  </si>
  <si>
    <t>In this cell the step value is entered for a dynamic simulation, where a certain model parameter can change consecutively, such as the time parameter, in this case the unit of time is entered here, that is, 1. By default, the value from the CONFIG sheet is entered, but you can change this value to whatever is necessary for your model. The preset number 8 corresponds to 8 degrees, since 8 x 45 = 360, which is frequently used for the rotation of the axes.</t>
  </si>
  <si>
    <t>In this cell you enter the number of steps for a dynamic simulation, where a certain model parameter can change consecutively, such as the time parameter, where the number of seconds of the simulation is entered in this cell, by default 45. By default the value from the CONFIG sheet is entered, but you can change this value to whatever is necessary for your model. The preset number 45 is set in degrees to one full revolution , since 8 x 45 = 360, which is frequently used for the rotation of the axes.</t>
  </si>
  <si>
    <t>In this cell the parameter for a dynamic simulation is entered, which can change consecutively, such as the time parameter, in this case the variable t is entered here, that is, this cell must take the place of the variable t of a dynamic mathematical equation. As an illustration of the functioning of this cell, you can see the project PARABOLIC MOTION.</t>
  </si>
  <si>
    <t xml:space="preserve">El botón ubicado en esta celda está destinado a ocultar o mostrar las columnas de configuración de los vectores y del modelo, es decir las primeras 5 columnas. </t>
  </si>
  <si>
    <t xml:space="preserve">Al oprimir este botón, la celda activa en la hoja actuará como parámetro dinámico avanzando. Para ver su funcionamiento seleccione una celda que no esté ocupada y oprima este botón, observará que la celda cambia su valor consecutivamente. Este botón es útil para verificar rápidamente el comportamiento de variables de un modelo con diferentes valores, simplemente seleccionando la celda de la variable y oprimiendo este botón. </t>
  </si>
  <si>
    <t xml:space="preserve">Al oprimir este botón, la celda activa en la hoja actuará como parámetro dinámico retrocediendo. Para ver su funcionamiento seleccione una celda que no esté ocupada y oprima este botón, observará que la celda cambia su valor consecutivamente. Este botón es útil para verificar rápidamente el comportamiento de variables de un modelo con diferentes valores, simplemente seleccionando la celda de la variable y oprimiendo este botón. </t>
  </si>
  <si>
    <t>&lt;&lt;--  poner el parámetro dinámico en cero. _x000D_&lt;- retroceder un paso.</t>
  </si>
  <si>
    <t>The button located in this cell is intended to hide or show the vector and model configuration columns, that is, the first 5 columns.</t>
  </si>
  <si>
    <t>When you press this button, the active cell in the spreadsheet will act as a dynamic forward parameter. To see how it works, select an empty cell and press this button, you will notice that the cell changes its value consecutively. This button is useful to quickly check the behavior of variables in a model with different values, simply by selecting the variable cell and pressing this button.</t>
  </si>
  <si>
    <t>When you press this button, the active cell in the spreadsheet will act as a dynamic back parameter. To see how it works, select an empty cell and press this button, you will notice that the cell changes its value consecutively. This button is useful to quickly check the behavior of variables in a model with different values, simply by selecting the variable cell and pressing this button.</t>
  </si>
  <si>
    <t>&lt;&lt;-- sets the dynamic parameter to zero. _x000D_&lt;- goes back one step.</t>
  </si>
  <si>
    <t xml:space="preserve">Botón de ayuda. Seleccione cualquier celda en la hoja y oprima este botón para obtener ayuda sobre la celda seleccionada. </t>
  </si>
  <si>
    <t>Comentario de ayuda. Coloque el cursor sobre esta celda para obtener ayuda sobre el proyecto en curso. Para editar la información del comentario y personalizarla para su propio proyecto, oprima el botón derecho del ratón y seleccione EDITAR COMENTARIO. La información nueva o editada solamente se guardará después de oprimir el botón CÓDIGO.</t>
  </si>
  <si>
    <t>Versión actual del paquete ScienSolar.</t>
  </si>
  <si>
    <t>Ejecutar una simulación. Este botón sólo funciona si la celda I5 está ligada a una variable o parámetro. Para ver su función con más detalle, abra una nueva hoja y descargue el proyecto MOVIMIENTO PARABÓLICO, seleccione la celda B39 correspondiente a la componente en el eje y de la velocidad, observe que su fórmula está ligada con la celda I5 mediante la ecuación v_y = v_oy + a_y t.</t>
  </si>
  <si>
    <t>Help button. Select any cell on the sheet and press this button to get help on the selected cell.</t>
  </si>
  <si>
    <t>Help comment. Place the cursor over this cell for help on the current project. To edit the comment information and customize it for your own project, right-click and select EDIT COMMENT. New or edited information will only be saved after pressing the CODE button.</t>
  </si>
  <si>
    <t>Current version of the ScienSolar package.</t>
  </si>
  <si>
    <t>Run a simulation. This button only works if cell I5 is linked to a variable or parameter. To see its function in more detail, open a new sheet and download the PARABOLIC MOTION project, select cell B39 corresponding to the y-axis component of velocity, note that its formula is linked to cell I5 by the equation v_y = v_oy + a_y t.</t>
  </si>
  <si>
    <t xml:space="preserve"> --&gt;&gt;  poner el parámetro dinámico en su último valor. _x000D_adelantar un paso.</t>
  </si>
  <si>
    <t xml:space="preserve"> --&gt;&gt; set the dynamic parameter to its last value. _x000D_advance one step.</t>
  </si>
  <si>
    <t xml:space="preserve">Manuales y libros sobre los modelos de ScienSolar. Encuentre en este vínculo los manuales y libros en español e inglés, y a futuro en otros idiomas, sobre cómo sacar mejor provecho de este paquete para sus propios modelos  de física y matemáticas. Los libros se ofrecen en versiones de papel y versiones de lectura en línea. </t>
  </si>
  <si>
    <t>Manuals and books on the ScienSolar models. Find at this link the manuals and books in Spanish and English, and in the future in other languages, on how to get the most out of this package for your own models of physics and mathematics. The books are offered in print versions and online reading versions.</t>
  </si>
  <si>
    <t xml:space="preserve">Oprima este botón para abrir una nueva hoja de cálculo para un nuevo proyecto  o para abrir otros proyectos ScienSolar. Cada hoja es totalmente independiente y pueden abrirse varias hojas simultáneamente sin que esto afecte a los proyectos ya abiertos. </t>
  </si>
  <si>
    <t xml:space="preserve">Press this button to open a new spreadsheet for a new project or to open other ScienSolar projects. Each sheet is completely independent and multiple sheets can be opened simultaneously without affecting already open projects </t>
  </si>
  <si>
    <t>Lista de proyectos. Para que un proyecto aparezca en esta lista se deben cumplir dos requisitos. 1. Que se encuentre listado en la hoja CONFIG. 2. Que su código se encuentre en el editor VBA del libro de Excel, con su encabezado configurado correctamente. Cada proyecto puede tener diferentes versiones de acuerdo a su idioma, cada una de ellas con su propio código y su encabezado distinguido por el acrónimo del idioma (por ejemplo EN, ES, etc.)</t>
  </si>
  <si>
    <t>List of projects. For a project to appear in this list, two requirements must be met. 1. It must be listed on the CONFIG sheet. 2. Its code must be in the book's VBA editor of Excel, with its header configured correctly. Each project can have different versions depending on its language, each of them with its own code and its header distinguished by the language acronym (for example EN, ES, etc.)</t>
  </si>
  <si>
    <t>La función del botón Restablecer es eliminar todo el contenido actual de la hoja de cálculo y volver a la configuración de una hoja nueva. Esta acción es irreversible pero sólo afecta los cambios hechos después de haber abierto un proyecto. Los proyectos ya guardados en ScienSolar mediante el copiado de código al editor de VBA no son afectados por la acción de este botón.</t>
  </si>
  <si>
    <t>The function of the Reset button is to delete all the current content of the spreadsheet and return to the settings of a new sheet. This action is irreversible but only affects changes made after having opened a project. Projects already saved in ScienSolar by copying the code to the VBA editor are not affected by the action of this button.</t>
  </si>
  <si>
    <t xml:space="preserve">Idioma de la interface y del proyecto actual. Seleccione el idioma preferido y oprima Ejecutar. Para guardar un proyecto en un nuevo idioma, abra el proyecto en el idioma existente, edítelo en el nuevo idioma y antes de exportarlo con el botón CÓDIGO, seleccione el nuevo idioma de la lista desplegable. Luego de exportado, copie el código del archivo exportado y péguelo en el editor de VBA. Para versiones de lenguaje del mismo proyecto, no necesita adicionarlo a la lista de proyectos en CONFIG, solamente agregar la traducción del título en la correspondiente columna. </t>
  </si>
  <si>
    <t xml:space="preserve">El botón vector tiene dos funciones: 1. Si la lista de proyectos no tiene seleccionado ningún proyecto, este botón agregará un nuevo vector. 2. Si la lista tiene seleccionado un proyecto,  el proyecto seleccionado se cargará a la hoja. Nota: existen proyectos grandes que necesitan cargarse por partes, así que tendrá que oprimirse varias veces eeste botón, estos proyectos grandes tienen más de 20 vectores en su configuración. Si ya existe un proyecto en la hoja de cálculo y se desea cargar otro proyecto, es necesario restablecer la hoja. No se pueden cargar dos proyectos a una misma hoja. </t>
  </si>
  <si>
    <t xml:space="preserve">Language of the interface and the current project. Select the preferred language and press Run. To save a project in a new language, open the project in the existing language, edit it in the new language and before exporting it with the CODE button, select the new language from the drop-down list. After exporting, copy the code from the exported file and paste it into the VBA editor. For language versions of the same project, you do not need to add it to the list of projects in CONFIG, just add the translation of the title in the corresponding column. </t>
  </si>
  <si>
    <t>The vector button has two functions: 1. If the project list has no project selected, this button will add a new vector. 2. If the list has a project selected, the selected project will be loaded to the sheet. Note: there are large projects that need to be loaded in parts, so you will have to press this button several times, these large projects have more than 20 vectors in their configuration. If a project already exists in the spreadsheet and If you want to load another project, you must reset the sheet. You cannot load two projects to the same sheet.</t>
  </si>
  <si>
    <t>INICIO</t>
  </si>
  <si>
    <t>(Yes=1,No=0)</t>
  </si>
  <si>
    <t>AUTOLIST:</t>
  </si>
  <si>
    <t>Press below</t>
  </si>
  <si>
    <t>to refresh</t>
  </si>
  <si>
    <t>the list in</t>
  </si>
  <si>
    <t>the active</t>
  </si>
  <si>
    <t>language.</t>
  </si>
  <si>
    <t>Put A33=1</t>
  </si>
  <si>
    <t xml:space="preserve">with the </t>
  </si>
  <si>
    <t>Reset</t>
  </si>
  <si>
    <t>button.</t>
  </si>
  <si>
    <t>Obs.</t>
  </si>
  <si>
    <t>This sheet contains the default values; Be careful when making changes. Anyway, to reset all initial settings, delete this spreadsheet (CONFIG) and press the New Sheet button (from another sheet).</t>
  </si>
  <si>
    <t>(LISTA)</t>
  </si>
  <si>
    <t>Verified translation</t>
  </si>
  <si>
    <t>No, of list</t>
  </si>
  <si>
    <t>Note: Please do not change the labels LISTA and INICIO, they are necessary for the correct running of the program.</t>
  </si>
  <si>
    <t>Obs: por favor no cambie los nombres LISTA e INICIO, pues son necesarios para el correcto funcionamiento del programa.</t>
  </si>
  <si>
    <t>Get code</t>
  </si>
  <si>
    <t xml:space="preserve"> +Obj</t>
  </si>
  <si>
    <t xml:space="preserve"> -Obj</t>
  </si>
  <si>
    <t xml:space="preserve"> New sheet </t>
  </si>
  <si>
    <t xml:space="preserve"> + Vector</t>
  </si>
  <si>
    <t>Origin</t>
  </si>
  <si>
    <t>Left:</t>
  </si>
  <si>
    <t>Up:</t>
  </si>
  <si>
    <t>Scale:</t>
  </si>
  <si>
    <t>Axes lenght:</t>
  </si>
  <si>
    <t>Rotation</t>
  </si>
  <si>
    <t>Dynamic parameters</t>
  </si>
  <si>
    <t>Step:</t>
  </si>
  <si>
    <t>No. steps:</t>
  </si>
  <si>
    <t>Parameter:</t>
  </si>
  <si>
    <t>Selected</t>
  </si>
  <si>
    <t>Set to zero</t>
  </si>
  <si>
    <t>Split the text of the selected cell</t>
  </si>
  <si>
    <t>New Vector</t>
  </si>
  <si>
    <t>Clone all</t>
  </si>
  <si>
    <t>Periodic Table elements..................</t>
  </si>
  <si>
    <t>x</t>
  </si>
  <si>
    <t>y</t>
  </si>
  <si>
    <t>z</t>
  </si>
  <si>
    <t>Código</t>
  </si>
  <si>
    <t>Nueva hoja</t>
  </si>
  <si>
    <t>Origen</t>
  </si>
  <si>
    <t>Izquierda:</t>
  </si>
  <si>
    <t>Arriba:</t>
  </si>
  <si>
    <t>Escala:</t>
  </si>
  <si>
    <t xml:space="preserve">Long. ejes </t>
  </si>
  <si>
    <t>Rotación</t>
  </si>
  <si>
    <t>Parámetros dinámicos</t>
  </si>
  <si>
    <t>Paso:</t>
  </si>
  <si>
    <t>N¡ de pasos:</t>
  </si>
  <si>
    <t>Parámetro:</t>
  </si>
  <si>
    <t xml:space="preserve"> Seleccionado</t>
  </si>
  <si>
    <t>Reiniciar</t>
  </si>
  <si>
    <t>Repartir el texto de la celda seleccionada</t>
  </si>
  <si>
    <t>Restablecer</t>
  </si>
  <si>
    <t>Nuevo vector</t>
  </si>
  <si>
    <t>Clonar todo</t>
  </si>
  <si>
    <t>Elementos de la tabla periódica...............</t>
  </si>
  <si>
    <t>FIRST USE INSTRUCTIONS:</t>
  </si>
  <si>
    <t>1. Press button New Sheet and, in the new sheet select a project from the drop-down list.</t>
  </si>
  <si>
    <t>2. Press the + Vector button.</t>
  </si>
  <si>
    <t>3. Customize the model.</t>
  </si>
  <si>
    <t>4. View the model via the rotate buttons or run it via the Run button.</t>
  </si>
  <si>
    <t>5. To select a new project, first press Reset.</t>
  </si>
  <si>
    <t>6. To add new vectors, select blank  from the drop-down list and press the +Vector button.</t>
  </si>
  <si>
    <t>INSTRUCCIONES DE INICIO:</t>
  </si>
  <si>
    <t>1. Presione el botón New Sheet y luego en la nueva hoja seleccione un proyecto de la lista desplegable.</t>
  </si>
  <si>
    <t>2. Presione el botón +Vector.</t>
  </si>
  <si>
    <t>3. Personalice el modelo.</t>
  </si>
  <si>
    <t>4. Con los botones de rotación visualice y con el botón Run ejecute el modelo.</t>
  </si>
  <si>
    <t>5. Para seleccionar un nuevo proyecto, primero oprima el botón Reset</t>
  </si>
  <si>
    <t>6. Para agregar nuevos vectores, no seleccione ningún proyecto y oprima +Vector.</t>
  </si>
  <si>
    <t>SELECTED:</t>
  </si>
  <si>
    <t>(LENGUAJE)</t>
  </si>
  <si>
    <t>English</t>
  </si>
  <si>
    <t>Spanish</t>
  </si>
  <si>
    <t>Russian</t>
  </si>
  <si>
    <t>Chinese</t>
  </si>
  <si>
    <t>Italian</t>
  </si>
  <si>
    <t>French</t>
  </si>
  <si>
    <t>A</t>
  </si>
  <si>
    <t>EN</t>
  </si>
  <si>
    <t>ES</t>
  </si>
  <si>
    <t>RU</t>
  </si>
  <si>
    <t>ZH</t>
  </si>
  <si>
    <t>IT</t>
  </si>
  <si>
    <t>FR</t>
  </si>
  <si>
    <t>ScienSolar v1.6</t>
  </si>
  <si>
    <t xml:space="preserve">        Rot XYZ:</t>
  </si>
  <si>
    <t>HELP</t>
  </si>
  <si>
    <t>t = 0,6328125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</si>
</sst>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2"/>
      <color theme="1"/>
      <name val="Calibri"/>
      <family val="2"/>
      <scheme val="minor"/>
    </font>
    <font>
      <sz val="12"/>
      <color rgb="FF000000"/>
      <name val="Calibri"/>
      <family val="2"/>
    </font>
    <font>
      <sz val="12"/>
      <color rgb="FFFF0000"/>
      <name val="Calibri"/>
      <family val="2"/>
      <scheme val="minor"/>
    </font>
    <font>
      <b/>
      <sz val="12"/>
      <color theme="1"/>
      <name val="Calibri"/>
      <family val="2"/>
      <scheme val="minor"/>
    </font>
    <font>
      <sz val="12"/>
      <color theme="0"/>
      <name val="Calibri"/>
      <family val="2"/>
      <scheme val="minor"/>
    </font>
    <font>
      <sz val="10"/>
      <color rgb="FF000000"/>
      <name val="Tahoma"/>
      <family val="2"/>
    </font>
    <font>
      <sz val="11"/>
      <color theme="1"/>
      <name val="Calibri (Cuerpo)"/>
    </font>
    <font>
      <sz val="11"/>
      <color indexed="8"/>
      <name val="Calibri (Cuerpo)"/>
    </font>
    <font>
      <sz val="15"/>
      <color indexed="8"/>
      <name val="Calibri (Cuerpo)"/>
    </font>
    <font>
      <sz val="9"/>
      <color rgb="FF0070C0"/>
      <name val="Calibri"/>
      <family val="2"/>
      <scheme val="minor"/>
    </font>
    <font>
      <sz val="12"/>
      <color theme="4" tint="-0.249977111117893"/>
      <name val="Calibri"/>
      <family val="2"/>
      <scheme val="minor"/>
    </font>
    <font>
      <i/>
      <sz val="12"/>
      <color theme="4" tint="-0.249977111117893"/>
      <name val="Calibri"/>
      <family val="2"/>
      <scheme val="minor"/>
    </font>
    <font>
      <sz val="16"/>
      <color theme="0"/>
      <name val="Calibri"/>
      <family val="2"/>
      <scheme val="minor"/>
    </font>
  </fonts>
  <fills count="9">
    <fill>
      <patternFill patternType="none"/>
    </fill>
    <fill>
      <patternFill patternType="gray125"/>
    </fill>
    <fill>
      <patternFill patternType="solid">
        <fgColor theme="1"/>
        <bgColor indexed="64"/>
      </patternFill>
    </fill>
    <fill>
      <patternFill patternType="solid">
        <fgColor theme="2"/>
        <bgColor indexed="64"/>
      </patternFill>
    </fill>
    <fill>
      <patternFill patternType="solid">
        <fgColor theme="0"/>
        <bgColor indexed="64"/>
      </patternFill>
    </fill>
    <fill>
      <patternFill patternType="solid">
        <fgColor theme="0" tint="-0.249977111117893"/>
        <bgColor indexed="64"/>
      </patternFill>
    </fill>
    <fill>
      <patternFill patternType="solid">
        <fgColor theme="0" tint="-0.14996795556505021"/>
        <bgColor indexed="64"/>
      </patternFill>
    </fill>
    <fill>
      <patternFill patternType="solid">
        <fgColor rgb="FFFF0000"/>
        <bgColor indexed="64"/>
      </patternFill>
    </fill>
    <fill>
      <patternFill patternType="solid">
        <fgColor theme="9" tint="-0.249977111117893"/>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top/>
      <bottom style="thick">
        <color theme="0" tint="-0.34998626667073579"/>
      </bottom>
      <diagonal/>
    </border>
    <border>
      <left/>
      <right style="thick">
        <color theme="0" tint="-0.34998626667073579"/>
      </right>
      <top style="thick">
        <color theme="0" tint="-0.34998626667073579"/>
      </top>
      <bottom/>
      <diagonal/>
    </border>
    <border>
      <left/>
      <right style="thick">
        <color theme="0" tint="-0.34998626667073579"/>
      </right>
      <top/>
      <bottom/>
      <diagonal/>
    </border>
    <border>
      <left/>
      <right style="thick">
        <color theme="0" tint="-0.34998626667073579"/>
      </right>
      <top/>
      <bottom style="thick">
        <color theme="0" tint="-0.34998626667073579"/>
      </bottom>
      <diagonal/>
    </border>
  </borders>
  <cellStyleXfs count="1">
    <xf numFmtId="0" fontId="0" fillId="0" borderId="0"/>
  </cellStyleXfs>
  <cellXfs count="29">
    <xf numFmtId="0" fontId="0" fillId="0" borderId="0" xfId="0"/>
    <xf numFmtId="0" fontId="0" fillId="0" borderId="1" xfId="0" applyBorder="1"/>
    <xf numFmtId="0" fontId="4" fillId="2" borderId="0" xfId="0" applyFont="1" applyFill="1"/>
    <xf numFmtId="0" fontId="4" fillId="2" borderId="2" xfId="0" applyFont="1" applyFill="1" applyBorder="1"/>
    <xf numFmtId="0" fontId="4" fillId="2" borderId="0" xfId="0" applyFont="1" applyFill="1" applyBorder="1"/>
    <xf numFmtId="0" fontId="4" fillId="2" borderId="4" xfId="0" applyFont="1" applyFill="1" applyBorder="1"/>
    <xf numFmtId="0" fontId="4" fillId="2" borderId="5" xfId="0" applyFont="1" applyFill="1" applyBorder="1"/>
    <xf numFmtId="0" fontId="0" fillId="3" borderId="0" xfId="0" applyFont="1" applyFill="1"/>
    <xf numFmtId="0" fontId="0" fillId="3" borderId="3" xfId="0" applyFont="1" applyFill="1" applyBorder="1"/>
    <xf numFmtId="0" fontId="0" fillId="3" borderId="4" xfId="0" applyFont="1" applyFill="1" applyBorder="1"/>
    <xf numFmtId="0" fontId="0" fillId="3" borderId="2" xfId="0" applyFont="1" applyFill="1" applyBorder="1"/>
    <xf numFmtId="0" fontId="3" fillId="3" borderId="2" xfId="0" applyFont="1" applyFill="1" applyBorder="1" applyAlignment="1">
      <alignment horizontal="center"/>
    </xf>
    <xf numFmtId="0" fontId="0" fillId="3" borderId="5" xfId="0" applyFont="1" applyFill="1" applyBorder="1"/>
    <xf numFmtId="0" fontId="9" fillId="5" borderId="4" xfId="0" applyFont="1" applyFill="1" applyBorder="1"/>
    <xf numFmtId="0" fontId="4" fillId="2" borderId="2" xfId="0" applyFont="1" applyFill="1" applyBorder="1" applyAlignment="1">
      <alignment horizontal="left"/>
    </xf>
    <xf numFmtId="0" fontId="0" fillId="3" borderId="0" xfId="0" applyFont="1" applyFill="1" applyAlignment="1">
      <alignment horizontal="left"/>
    </xf>
    <xf numFmtId="0" fontId="0" fillId="3" borderId="2" xfId="0" applyFont="1" applyFill="1" applyBorder="1" applyAlignment="1">
      <alignment horizontal="left"/>
    </xf>
    <xf numFmtId="0" fontId="4" fillId="2" borderId="0" xfId="0" applyFont="1" applyFill="1" applyAlignment="1">
      <alignment horizontal="left"/>
    </xf>
    <xf numFmtId="0" fontId="10" fillId="6" borderId="0" xfId="0" applyFont="1" applyFill="1"/>
    <xf numFmtId="0" fontId="10" fillId="6" borderId="0" xfId="0" applyFont="1" applyFill="1" applyAlignment="1">
      <alignment horizontal="left"/>
    </xf>
    <xf numFmtId="0" fontId="11" fillId="6" borderId="0" xfId="0" applyFont="1" applyFill="1"/>
    <xf numFmtId="0" fontId="0" fillId="4" borderId="0" xfId="0" applyFont="1" applyFill="1" applyAlignment="1">
      <alignment horizontal="left"/>
    </xf>
    <xf numFmtId="0" fontId="0" fillId="4" borderId="0" xfId="0" applyFont="1" applyFill="1"/>
    <xf numFmtId="0" fontId="12" fillId="7" borderId="0" xfId="0" applyFont="1" applyFill="1" applyAlignment="1">
      <alignment horizontal="center"/>
    </xf>
    <xf numFmtId="0" fontId="0" fillId="6" borderId="0" xfId="0" applyFont="1" applyFill="1"/>
    <xf numFmtId="0" fontId="2" fillId="6" borderId="0" xfId="0" applyFont="1" applyFill="1"/>
    <xf numFmtId="0" fontId="0" fillId="2" borderId="0" xfId="0" applyFont="1" applyFill="1"/>
    <xf numFmtId="0" fontId="0" fillId="2" borderId="2" xfId="0" applyFont="1" applyFill="1" applyBorder="1"/>
    <xf numFmtId="0" fontId="4" fillId="8" borderId="0" xfId="0" applyFont="1" applyFill="1"/>
  </cellXfs>
  <cellStyles count="1">
    <cellStyle name="Normal" xfId="0" builtinId="0"/>
  </cellStyles>
  <dxfs count="1">
    <dxf>
      <font>
        <color theme="0"/>
      </font>
      <fill>
        <patternFill>
          <fgColor indexed="64"/>
          <bgColor theme="9"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Drop" dropLines="20" dropStyle="combo" dx="15" fmlaLink="$A$4" sel="0" val="0">
  <itemLst>
    <item val=" "/>
    <item val="2 0"/>
    <item val="3 Periodic Table elements.................."/>
  </itemLst>
</formControlPr>
</file>

<file path=xl/ctrlProps/ctrlProp2.xml><?xml version="1.0" encoding="utf-8"?>
<formControlPr xmlns="http://schemas.microsoft.com/office/spreadsheetml/2009/9/main" objectType="Drop" dropLines="20" dropStyle="combo" dx="15" fmlaLink="$T$2" sel="1" val="0">
  <itemLst>
    <item val="English"/>
    <item val="Spanish"/>
    <item val="Russian"/>
    <item val="Chinese"/>
    <item val="Italian"/>
    <item val="French"/>
    <item val="A"/>
  </itemLst>
</formControlPr>
</file>

<file path=xl/ctrlProps/ctrlProp3.xml><?xml version="1.0" encoding="utf-8"?>
<formControlPr xmlns="http://schemas.microsoft.com/office/spreadsheetml/2009/9/main" objectType="Spin" dx="15" fmlaLink="$G$4" max="30000" page="10" val="0"/>
</file>

<file path=xl/ctrlProps/ctrlProp4.xml><?xml version="1.0" encoding="utf-8"?>
<formControlPr xmlns="http://schemas.microsoft.com/office/spreadsheetml/2009/9/main" objectType="Spin" dx="15" fmlaLink="$G$5" max="30000" page="10" val="15"/>
</file>

<file path=xl/ctrlProps/ctrlProp5.xml><?xml version="1.0" encoding="utf-8"?>
<formControlPr xmlns="http://schemas.microsoft.com/office/spreadsheetml/2009/9/main" objectType="Spin" dx="15" fmlaLink="$G$6" max="30000" page="10" val="15"/>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Lines="20" dropStyle="combo" dx="15" fmlaLink="$A$45" sel="1" val="0">
  <itemLst>
    <item val="English"/>
    <item val="Spanish"/>
    <item val="Russian"/>
    <item val="Chinese"/>
    <item val="Italian"/>
    <item val="French"/>
    <item val="A"/>
  </itemLst>
</formControlPr>
</file>

<file path=xl/ctrlProps/ctrlProp4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0</xdr:colOff>
          <xdr:row>4</xdr:row>
          <xdr:rowOff>0</xdr:rowOff>
        </xdr:from>
        <xdr:to>
          <xdr:col>19</xdr:col>
          <xdr:colOff>0</xdr:colOff>
          <xdr:row>4</xdr:row>
          <xdr:rowOff>197556</xdr:rowOff>
        </xdr:to>
        <xdr:sp macro="" textlink="">
          <xdr:nvSpPr>
            <xdr:cNvPr id="5069" name="List1" hidden="1">
              <a:extLst>
                <a:ext uri="{63B3BB69-23CF-44E3-9099-C40C66FF867C}">
                  <a14:compatExt spid="_x0000_s3355"/>
                </a:ext>
                <a:ext uri="{FF2B5EF4-FFF2-40B4-BE49-F238E27FC236}">
                  <a16:creationId xmlns:a16="http://schemas.microsoft.com/office/drawing/2014/main" id="{9ED86257-7707-CAB5-FD25-E9BEDE066CE1}"/>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xdr:row>
          <xdr:rowOff>0</xdr:rowOff>
        </xdr:from>
        <xdr:to>
          <xdr:col>20</xdr:col>
          <xdr:colOff>190500</xdr:colOff>
          <xdr:row>2</xdr:row>
          <xdr:rowOff>23989</xdr:rowOff>
        </xdr:to>
        <xdr:sp macro="" textlink="">
          <xdr:nvSpPr>
            <xdr:cNvPr id="5070" name="LangList" hidden="1">
              <a:extLst>
                <a:ext uri="{63B3BB69-23CF-44E3-9099-C40C66FF867C}">
                  <a14:compatExt spid="_x0000_s3356"/>
                </a:ext>
                <a:ext uri="{FF2B5EF4-FFF2-40B4-BE49-F238E27FC236}">
                  <a16:creationId xmlns:a16="http://schemas.microsoft.com/office/drawing/2014/main" id="{59C96E3E-DD2F-B6C7-F513-D7F38A3B96FB}"/>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203200</xdr:colOff>
          <xdr:row>4</xdr:row>
          <xdr:rowOff>0</xdr:rowOff>
        </xdr:to>
        <xdr:sp macro="" textlink="">
          <xdr:nvSpPr>
            <xdr:cNvPr id="5071" name="Spinner 285" hidden="1">
              <a:extLst>
                <a:ext uri="{63B3BB69-23CF-44E3-9099-C40C66FF867C}">
                  <a14:compatExt spid="_x0000_s3357"/>
                </a:ext>
                <a:ext uri="{FF2B5EF4-FFF2-40B4-BE49-F238E27FC236}">
                  <a16:creationId xmlns:a16="http://schemas.microsoft.com/office/drawing/2014/main" id="{F2C3A18D-3FFF-C242-F999-6638F507275C}"/>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6</xdr:col>
          <xdr:colOff>203200</xdr:colOff>
          <xdr:row>5</xdr:row>
          <xdr:rowOff>0</xdr:rowOff>
        </xdr:to>
        <xdr:sp macro="" textlink="">
          <xdr:nvSpPr>
            <xdr:cNvPr id="5072" name="Spinner 286" hidden="1">
              <a:extLst>
                <a:ext uri="{63B3BB69-23CF-44E3-9099-C40C66FF867C}">
                  <a14:compatExt spid="_x0000_s3358"/>
                </a:ext>
                <a:ext uri="{FF2B5EF4-FFF2-40B4-BE49-F238E27FC236}">
                  <a16:creationId xmlns:a16="http://schemas.microsoft.com/office/drawing/2014/main" id="{C8B91D78-3130-12CF-9303-545185F30F4A}"/>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5</xdr:row>
          <xdr:rowOff>0</xdr:rowOff>
        </xdr:from>
        <xdr:to>
          <xdr:col>6</xdr:col>
          <xdr:colOff>203200</xdr:colOff>
          <xdr:row>6</xdr:row>
          <xdr:rowOff>0</xdr:rowOff>
        </xdr:to>
        <xdr:sp macro="" textlink="">
          <xdr:nvSpPr>
            <xdr:cNvPr id="5073" name="Spinner 287" hidden="1">
              <a:extLst>
                <a:ext uri="{63B3BB69-23CF-44E3-9099-C40C66FF867C}">
                  <a14:compatExt spid="_x0000_s3359"/>
                </a:ext>
                <a:ext uri="{FF2B5EF4-FFF2-40B4-BE49-F238E27FC236}">
                  <a16:creationId xmlns:a16="http://schemas.microsoft.com/office/drawing/2014/main" id="{6FCF24CB-EA7C-5E6F-9FF2-B5CE33BF984C}"/>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406400</xdr:colOff>
          <xdr:row>1</xdr:row>
          <xdr:rowOff>0</xdr:rowOff>
        </xdr:from>
        <xdr:to>
          <xdr:col>10</xdr:col>
          <xdr:colOff>0</xdr:colOff>
          <xdr:row>2</xdr:row>
          <xdr:rowOff>0</xdr:rowOff>
        </xdr:to>
        <xdr:sp macro="" textlink="">
          <xdr:nvSpPr>
            <xdr:cNvPr id="5074" name="1" hidden="1">
              <a:extLst>
                <a:ext uri="{63B3BB69-23CF-44E3-9099-C40C66FF867C}">
                  <a14:compatExt spid="_x0000_s3360"/>
                </a:ext>
                <a:ext uri="{FF2B5EF4-FFF2-40B4-BE49-F238E27FC236}">
                  <a16:creationId xmlns:a16="http://schemas.microsoft.com/office/drawing/2014/main" id="{C31B8C2C-0F6F-51EA-D67A-A72BF1769AF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charset="0"/>
                  <a:cs typeface="Calibri"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406400</xdr:colOff>
          <xdr:row>1</xdr:row>
          <xdr:rowOff>0</xdr:rowOff>
        </xdr:from>
        <xdr:to>
          <xdr:col>11</xdr:col>
          <xdr:colOff>0</xdr:colOff>
          <xdr:row>2</xdr:row>
          <xdr:rowOff>0</xdr:rowOff>
        </xdr:to>
        <xdr:sp macro="" textlink="">
          <xdr:nvSpPr>
            <xdr:cNvPr id="5075" name="Button 289" hidden="1">
              <a:extLst>
                <a:ext uri="{63B3BB69-23CF-44E3-9099-C40C66FF867C}">
                  <a14:compatExt spid="_x0000_s3361"/>
                </a:ext>
                <a:ext uri="{FF2B5EF4-FFF2-40B4-BE49-F238E27FC236}">
                  <a16:creationId xmlns:a16="http://schemas.microsoft.com/office/drawing/2014/main" id="{608B4EAA-EEDD-5BA0-D658-7E1865FD745B}"/>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500" b="0" i="0" u="none" strike="noStrike" baseline="0">
                  <a:solidFill>
                    <a:srgbClr val="000000"/>
                  </a:solidFill>
                  <a:latin typeface="Calibri" charset="0"/>
                  <a:cs typeface="Calibri" charset="0"/>
                </a:rPr>
                <a:t>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0</xdr:rowOff>
        </xdr:from>
        <xdr:to>
          <xdr:col>4</xdr:col>
          <xdr:colOff>406400</xdr:colOff>
          <xdr:row>5</xdr:row>
          <xdr:rowOff>0</xdr:rowOff>
        </xdr:to>
        <xdr:sp macro="" textlink="">
          <xdr:nvSpPr>
            <xdr:cNvPr id="5076" name="AutoSc" hidden="1">
              <a:extLst>
                <a:ext uri="{63B3BB69-23CF-44E3-9099-C40C66FF867C}">
                  <a14:compatExt spid="_x0000_s3362"/>
                </a:ext>
                <a:ext uri="{FF2B5EF4-FFF2-40B4-BE49-F238E27FC236}">
                  <a16:creationId xmlns:a16="http://schemas.microsoft.com/office/drawing/2014/main" id="{8B10897C-E881-DC3D-72AA-249823FEFD5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charset="0"/>
                  <a:cs typeface="Calibri" charset="0"/>
                </a:rPr>
                <a:t>Aut</a:t>
              </a:r>
              <a:r>
                <a:rPr lang="es-MX" sz="1200" b="0" i="0" u="none" strike="noStrike" baseline="0">
                  <a:solidFill>
                    <a:srgbClr val="000000"/>
                  </a:solidFill>
                  <a:latin typeface="Calibri" pitchFamily="2" charset="0"/>
                  <a:cs typeface="Calibri" pitchFamily="2" charset="0"/>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1</xdr:col>
          <xdr:colOff>406400</xdr:colOff>
          <xdr:row>3</xdr:row>
          <xdr:rowOff>0</xdr:rowOff>
        </xdr:to>
        <xdr:sp macro="" textlink="">
          <xdr:nvSpPr>
            <xdr:cNvPr id="5077" name="AddButt" hidden="1">
              <a:extLst>
                <a:ext uri="{63B3BB69-23CF-44E3-9099-C40C66FF867C}">
                  <a14:compatExt spid="_x0000_s3363"/>
                </a:ext>
                <a:ext uri="{FF2B5EF4-FFF2-40B4-BE49-F238E27FC236}">
                  <a16:creationId xmlns:a16="http://schemas.microsoft.com/office/drawing/2014/main" id="{0CB5740E-F1DF-55B8-3997-3F08A214EBD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charset="0"/>
                  <a:cs typeface="Calibri" charset="0"/>
                </a:rPr>
                <a:t>+ O</a:t>
              </a:r>
              <a:r>
                <a:rPr lang="es-MX" sz="1200" b="0" i="0" u="none" strike="noStrike" baseline="0">
                  <a:solidFill>
                    <a:srgbClr val="000000"/>
                  </a:solidFill>
                  <a:latin typeface="Calibri" pitchFamily="2" charset="0"/>
                  <a:cs typeface="Calibri" pitchFamily="2" charset="0"/>
                </a:rPr>
                <a:t>BJ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xdr:row>
          <xdr:rowOff>0</xdr:rowOff>
        </xdr:from>
        <xdr:to>
          <xdr:col>2</xdr:col>
          <xdr:colOff>406400</xdr:colOff>
          <xdr:row>3</xdr:row>
          <xdr:rowOff>0</xdr:rowOff>
        </xdr:to>
        <xdr:sp macro="" textlink="">
          <xdr:nvSpPr>
            <xdr:cNvPr id="5078" name="DelButt" hidden="1">
              <a:extLst>
                <a:ext uri="{63B3BB69-23CF-44E3-9099-C40C66FF867C}">
                  <a14:compatExt spid="_x0000_s3364"/>
                </a:ext>
                <a:ext uri="{FF2B5EF4-FFF2-40B4-BE49-F238E27FC236}">
                  <a16:creationId xmlns:a16="http://schemas.microsoft.com/office/drawing/2014/main" id="{22867DFB-2F27-8A9D-AC20-3CA96BF3242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charset="0"/>
                  <a:cs typeface="Calibri" charset="0"/>
                </a:rPr>
                <a:t>- O</a:t>
              </a:r>
              <a:r>
                <a:rPr lang="es-MX" sz="1200" b="0" i="0" u="none" strike="noStrike" baseline="0">
                  <a:solidFill>
                    <a:srgbClr val="000000"/>
                  </a:solidFill>
                  <a:latin typeface="Calibri" pitchFamily="2" charset="0"/>
                  <a:cs typeface="Calibri" pitchFamily="2" charset="0"/>
                </a:rPr>
                <a:t>BJ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406400</xdr:colOff>
          <xdr:row>2</xdr:row>
          <xdr:rowOff>0</xdr:rowOff>
        </xdr:from>
        <xdr:to>
          <xdr:col>6</xdr:col>
          <xdr:colOff>0</xdr:colOff>
          <xdr:row>3</xdr:row>
          <xdr:rowOff>0</xdr:rowOff>
        </xdr:to>
        <xdr:sp macro="" textlink="">
          <xdr:nvSpPr>
            <xdr:cNvPr id="5079" name="Button 293" hidden="1">
              <a:extLst>
                <a:ext uri="{63B3BB69-23CF-44E3-9099-C40C66FF867C}">
                  <a14:compatExt spid="_x0000_s3365"/>
                </a:ext>
                <a:ext uri="{FF2B5EF4-FFF2-40B4-BE49-F238E27FC236}">
                  <a16:creationId xmlns:a16="http://schemas.microsoft.com/office/drawing/2014/main" id="{485514DE-721C-C6A1-41D6-AFC51B97579C}"/>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s-MX"/>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0</xdr:rowOff>
        </xdr:from>
        <xdr:to>
          <xdr:col>6</xdr:col>
          <xdr:colOff>406400</xdr:colOff>
          <xdr:row>2</xdr:row>
          <xdr:rowOff>0</xdr:rowOff>
        </xdr:to>
        <xdr:sp macro="" textlink="">
          <xdr:nvSpPr>
            <xdr:cNvPr id="5080" name="Button 294" hidden="1">
              <a:extLst>
                <a:ext uri="{63B3BB69-23CF-44E3-9099-C40C66FF867C}">
                  <a14:compatExt spid="_x0000_s3366"/>
                </a:ext>
                <a:ext uri="{FF2B5EF4-FFF2-40B4-BE49-F238E27FC236}">
                  <a16:creationId xmlns:a16="http://schemas.microsoft.com/office/drawing/2014/main" id="{E230D7DA-8002-D7D8-A379-1B3F4C74B3B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charset="0"/>
                  <a:cs typeface="Calibri" charset="0"/>
                </a:rPr>
                <a:t>XYZ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2</xdr:row>
          <xdr:rowOff>0</xdr:rowOff>
        </xdr:from>
        <xdr:to>
          <xdr:col>6</xdr:col>
          <xdr:colOff>406400</xdr:colOff>
          <xdr:row>3</xdr:row>
          <xdr:rowOff>0</xdr:rowOff>
        </xdr:to>
        <xdr:sp macro="" textlink="">
          <xdr:nvSpPr>
            <xdr:cNvPr id="5081" name="Button 295" hidden="1">
              <a:extLst>
                <a:ext uri="{63B3BB69-23CF-44E3-9099-C40C66FF867C}">
                  <a14:compatExt spid="_x0000_s3367"/>
                </a:ext>
                <a:ext uri="{FF2B5EF4-FFF2-40B4-BE49-F238E27FC236}">
                  <a16:creationId xmlns:a16="http://schemas.microsoft.com/office/drawing/2014/main" id="{76A052D9-0E40-BB78-5405-59469751CE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charset="0"/>
                  <a:cs typeface="Calibri" charset="0"/>
                </a:rPr>
                <a:t>XY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406400</xdr:colOff>
          <xdr:row>2</xdr:row>
          <xdr:rowOff>0</xdr:rowOff>
        </xdr:from>
        <xdr:to>
          <xdr:col>7</xdr:col>
          <xdr:colOff>0</xdr:colOff>
          <xdr:row>3</xdr:row>
          <xdr:rowOff>0</xdr:rowOff>
        </xdr:to>
        <xdr:sp macro="" textlink="">
          <xdr:nvSpPr>
            <xdr:cNvPr id="5082" name="Button 296" hidden="1">
              <a:extLst>
                <a:ext uri="{63B3BB69-23CF-44E3-9099-C40C66FF867C}">
                  <a14:compatExt spid="_x0000_s3368"/>
                </a:ext>
                <a:ext uri="{FF2B5EF4-FFF2-40B4-BE49-F238E27FC236}">
                  <a16:creationId xmlns:a16="http://schemas.microsoft.com/office/drawing/2014/main" id="{D015A960-E01A-444D-D94C-16D3CAD542F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charset="0"/>
                  <a:cs typeface="Calibri" charset="0"/>
                </a:rPr>
                <a:t>XZ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406400</xdr:colOff>
          <xdr:row>1</xdr:row>
          <xdr:rowOff>0</xdr:rowOff>
        </xdr:from>
        <xdr:to>
          <xdr:col>7</xdr:col>
          <xdr:colOff>0</xdr:colOff>
          <xdr:row>2</xdr:row>
          <xdr:rowOff>0</xdr:rowOff>
        </xdr:to>
        <xdr:sp macro="" textlink="">
          <xdr:nvSpPr>
            <xdr:cNvPr id="5083" name="Button 297" hidden="1">
              <a:extLst>
                <a:ext uri="{63B3BB69-23CF-44E3-9099-C40C66FF867C}">
                  <a14:compatExt spid="_x0000_s3369"/>
                </a:ext>
                <a:ext uri="{FF2B5EF4-FFF2-40B4-BE49-F238E27FC236}">
                  <a16:creationId xmlns:a16="http://schemas.microsoft.com/office/drawing/2014/main" id="{DE6A7813-DE2F-B11C-C083-543378D4B7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charset="0"/>
                  <a:cs typeface="Calibri" charset="0"/>
                </a:rPr>
                <a:t>YZ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406400</xdr:colOff>
          <xdr:row>3</xdr:row>
          <xdr:rowOff>0</xdr:rowOff>
        </xdr:from>
        <xdr:to>
          <xdr:col>6</xdr:col>
          <xdr:colOff>0</xdr:colOff>
          <xdr:row>4</xdr:row>
          <xdr:rowOff>0</xdr:rowOff>
        </xdr:to>
        <xdr:sp macro="" textlink="">
          <xdr:nvSpPr>
            <xdr:cNvPr id="5084" name="Button 298" hidden="1">
              <a:extLst>
                <a:ext uri="{63B3BB69-23CF-44E3-9099-C40C66FF867C}">
                  <a14:compatExt spid="_x0000_s3370"/>
                </a:ext>
                <a:ext uri="{FF2B5EF4-FFF2-40B4-BE49-F238E27FC236}">
                  <a16:creationId xmlns:a16="http://schemas.microsoft.com/office/drawing/2014/main" id="{B8CACF2F-865E-91FA-2FB5-4DDD998DC4E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charset="0"/>
                  <a:cs typeface="Calibri" charset="0"/>
                </a:rPr>
                <a:t>≫</a:t>
              </a:r>
              <a:r>
                <a:rPr lang="es-MX" sz="1200" b="0" i="0" u="none" strike="noStrike" baseline="0">
                  <a:solidFill>
                    <a:srgbClr val="000000"/>
                  </a:solidFill>
                  <a:latin typeface="Calibri" pitchFamily="2" charset="0"/>
                  <a:cs typeface="Calibri" pitchFamily="2" charset="0"/>
                </a:rPr>
                <a:t> 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406400</xdr:colOff>
          <xdr:row>4</xdr:row>
          <xdr:rowOff>0</xdr:rowOff>
        </xdr:from>
        <xdr:to>
          <xdr:col>6</xdr:col>
          <xdr:colOff>0</xdr:colOff>
          <xdr:row>5</xdr:row>
          <xdr:rowOff>0</xdr:rowOff>
        </xdr:to>
        <xdr:sp macro="" textlink="">
          <xdr:nvSpPr>
            <xdr:cNvPr id="5085" name="Button 299" hidden="1">
              <a:extLst>
                <a:ext uri="{63B3BB69-23CF-44E3-9099-C40C66FF867C}">
                  <a14:compatExt spid="_x0000_s3371"/>
                </a:ext>
                <a:ext uri="{FF2B5EF4-FFF2-40B4-BE49-F238E27FC236}">
                  <a16:creationId xmlns:a16="http://schemas.microsoft.com/office/drawing/2014/main" id="{63D03F12-0CBC-E7E0-CC62-E40B760644F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charset="0"/>
                  <a:cs typeface="Calibri" charset="0"/>
                </a:rPr>
                <a:t>≫</a:t>
              </a:r>
              <a:r>
                <a:rPr lang="es-MX" sz="1200" b="0" i="0" u="none" strike="noStrike" baseline="0">
                  <a:solidFill>
                    <a:srgbClr val="000000"/>
                  </a:solidFill>
                  <a:latin typeface="Calibri" pitchFamily="2" charset="0"/>
                  <a:cs typeface="Calibri" pitchFamily="2" charset="0"/>
                </a:rPr>
                <a:t> 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406400</xdr:colOff>
          <xdr:row>5</xdr:row>
          <xdr:rowOff>0</xdr:rowOff>
        </xdr:from>
        <xdr:to>
          <xdr:col>6</xdr:col>
          <xdr:colOff>0</xdr:colOff>
          <xdr:row>6</xdr:row>
          <xdr:rowOff>0</xdr:rowOff>
        </xdr:to>
        <xdr:sp macro="" textlink="">
          <xdr:nvSpPr>
            <xdr:cNvPr id="5086" name="Button 300" hidden="1">
              <a:extLst>
                <a:ext uri="{63B3BB69-23CF-44E3-9099-C40C66FF867C}">
                  <a14:compatExt spid="_x0000_s3372"/>
                </a:ext>
                <a:ext uri="{FF2B5EF4-FFF2-40B4-BE49-F238E27FC236}">
                  <a16:creationId xmlns:a16="http://schemas.microsoft.com/office/drawing/2014/main" id="{1379D78A-0A6A-F601-1222-62A47F46E6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charset="0"/>
                  <a:cs typeface="Calibri" charset="0"/>
                </a:rPr>
                <a:t>≫</a:t>
              </a:r>
              <a:r>
                <a:rPr lang="es-MX" sz="1200" b="0" i="0" u="none" strike="noStrike" baseline="0">
                  <a:solidFill>
                    <a:srgbClr val="000000"/>
                  </a:solidFill>
                  <a:latin typeface="Calibri" pitchFamily="2" charset="0"/>
                  <a:cs typeface="Calibri" pitchFamily="2" charset="0"/>
                </a:rPr>
                <a:t> 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1</xdr:row>
          <xdr:rowOff>0</xdr:rowOff>
        </xdr:from>
        <xdr:to>
          <xdr:col>19</xdr:col>
          <xdr:colOff>0</xdr:colOff>
          <xdr:row>2</xdr:row>
          <xdr:rowOff>38100</xdr:rowOff>
        </xdr:to>
        <xdr:sp macro="" textlink="">
          <xdr:nvSpPr>
            <xdr:cNvPr id="5087" name="Button 301" hidden="1">
              <a:extLst>
                <a:ext uri="{63B3BB69-23CF-44E3-9099-C40C66FF867C}">
                  <a14:compatExt spid="_x0000_s3373"/>
                </a:ext>
                <a:ext uri="{FF2B5EF4-FFF2-40B4-BE49-F238E27FC236}">
                  <a16:creationId xmlns:a16="http://schemas.microsoft.com/office/drawing/2014/main" id="{1AA5A2A2-A59D-45FC-87B5-0671AF02A73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charset="0"/>
                  <a:cs typeface="Calibri"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xdr:row>
          <xdr:rowOff>0</xdr:rowOff>
        </xdr:from>
        <xdr:to>
          <xdr:col>16</xdr:col>
          <xdr:colOff>0</xdr:colOff>
          <xdr:row>5</xdr:row>
          <xdr:rowOff>0</xdr:rowOff>
        </xdr:to>
        <xdr:sp macro="" textlink="">
          <xdr:nvSpPr>
            <xdr:cNvPr id="5088" name="Button 302" hidden="1">
              <a:extLst>
                <a:ext uri="{63B3BB69-23CF-44E3-9099-C40C66FF867C}">
                  <a14:compatExt spid="_x0000_s3374"/>
                </a:ext>
                <a:ext uri="{FF2B5EF4-FFF2-40B4-BE49-F238E27FC236}">
                  <a16:creationId xmlns:a16="http://schemas.microsoft.com/office/drawing/2014/main" id="{6E279819-3119-9170-C8CF-96B0E3E79FF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charset="0"/>
                  <a:cs typeface="Calibri" charset="0"/>
                </a:rPr>
                <a:t> New sheet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4</xdr:row>
          <xdr:rowOff>0</xdr:rowOff>
        </xdr:from>
        <xdr:to>
          <xdr:col>14</xdr:col>
          <xdr:colOff>0</xdr:colOff>
          <xdr:row>5</xdr:row>
          <xdr:rowOff>0</xdr:rowOff>
        </xdr:to>
        <xdr:sp macro="" textlink="">
          <xdr:nvSpPr>
            <xdr:cNvPr id="5089" name="NewVector" hidden="1">
              <a:extLst>
                <a:ext uri="{63B3BB69-23CF-44E3-9099-C40C66FF867C}">
                  <a14:compatExt spid="_x0000_s3375"/>
                </a:ext>
                <a:ext uri="{FF2B5EF4-FFF2-40B4-BE49-F238E27FC236}">
                  <a16:creationId xmlns:a16="http://schemas.microsoft.com/office/drawing/2014/main" id="{98012A1F-F3ED-D8CA-D24E-87C9E1AD72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charset="0"/>
                  <a:cs typeface="Calibri" charset="0"/>
                </a:rPr>
                <a:t>New Vector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xdr:row>
          <xdr:rowOff>0</xdr:rowOff>
        </xdr:from>
        <xdr:to>
          <xdr:col>14</xdr:col>
          <xdr:colOff>266700</xdr:colOff>
          <xdr:row>5</xdr:row>
          <xdr:rowOff>0</xdr:rowOff>
        </xdr:to>
        <xdr:sp macro="" textlink="">
          <xdr:nvSpPr>
            <xdr:cNvPr id="5090" name="NewVectorMinus" hidden="1">
              <a:extLst>
                <a:ext uri="{63B3BB69-23CF-44E3-9099-C40C66FF867C}">
                  <a14:compatExt spid="_x0000_s3376"/>
                </a:ext>
                <a:ext uri="{FF2B5EF4-FFF2-40B4-BE49-F238E27FC236}">
                  <a16:creationId xmlns:a16="http://schemas.microsoft.com/office/drawing/2014/main" id="{BC935416-3C2E-3051-515D-7418A7FF59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charset="0"/>
                  <a:cs typeface="Calibri" charset="0"/>
                </a:rPr>
                <a:t>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0</xdr:colOff>
          <xdr:row>2</xdr:row>
          <xdr:rowOff>0</xdr:rowOff>
        </xdr:to>
        <xdr:sp macro="" textlink="">
          <xdr:nvSpPr>
            <xdr:cNvPr id="5091" name="ENTIRE" hidden="1">
              <a:extLst>
                <a:ext uri="{63B3BB69-23CF-44E3-9099-C40C66FF867C}">
                  <a14:compatExt spid="_x0000_s3377"/>
                </a:ext>
                <a:ext uri="{FF2B5EF4-FFF2-40B4-BE49-F238E27FC236}">
                  <a16:creationId xmlns:a16="http://schemas.microsoft.com/office/drawing/2014/main" id="{4811CF04-DCA9-5D72-88C5-AC2EEE3FCFF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charset="0"/>
                  <a:cs typeface="Calibri" charset="0"/>
                </a:rPr>
                <a:t>Clone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406400</xdr:colOff>
          <xdr:row>1</xdr:row>
          <xdr:rowOff>0</xdr:rowOff>
        </xdr:from>
        <xdr:to>
          <xdr:col>6</xdr:col>
          <xdr:colOff>0</xdr:colOff>
          <xdr:row>2</xdr:row>
          <xdr:rowOff>0</xdr:rowOff>
        </xdr:to>
        <xdr:sp macro="" textlink="">
          <xdr:nvSpPr>
            <xdr:cNvPr id="5092" name="Button 306" hidden="1">
              <a:extLst>
                <a:ext uri="{63B3BB69-23CF-44E3-9099-C40C66FF867C}">
                  <a14:compatExt spid="_x0000_s3378"/>
                </a:ext>
                <a:ext uri="{FF2B5EF4-FFF2-40B4-BE49-F238E27FC236}">
                  <a16:creationId xmlns:a16="http://schemas.microsoft.com/office/drawing/2014/main" id="{8C96646E-946A-9F7A-25C4-F9135A0CA21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charset="0"/>
                  <a:cs typeface="Calibri" charset="0"/>
                </a:rPr>
                <a:t>-xy</a:t>
              </a:r>
              <a:r>
                <a:rPr lang="es-MX" sz="1200" b="0" i="0" u="none" strike="noStrike" baseline="0">
                  <a:solidFill>
                    <a:srgbClr val="000000"/>
                  </a:solidFill>
                  <a:latin typeface="Calibri" pitchFamily="2" charset="0"/>
                  <a:cs typeface="Calibri" pitchFamily="2" charset="0"/>
                </a:rPr>
                <a:t>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xdr:row>
          <xdr:rowOff>0</xdr:rowOff>
        </xdr:from>
        <xdr:to>
          <xdr:col>5</xdr:col>
          <xdr:colOff>406400</xdr:colOff>
          <xdr:row>2</xdr:row>
          <xdr:rowOff>0</xdr:rowOff>
        </xdr:to>
        <xdr:sp macro="" textlink="">
          <xdr:nvSpPr>
            <xdr:cNvPr id="5093" name="Button 307" hidden="1">
              <a:extLst>
                <a:ext uri="{63B3BB69-23CF-44E3-9099-C40C66FF867C}">
                  <a14:compatExt spid="_x0000_s3379"/>
                </a:ext>
                <a:ext uri="{FF2B5EF4-FFF2-40B4-BE49-F238E27FC236}">
                  <a16:creationId xmlns:a16="http://schemas.microsoft.com/office/drawing/2014/main" id="{783B0CDF-B6FB-865B-1315-282D1A0265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charset="0"/>
                  <a:cs typeface="Calibri" charset="0"/>
                </a:rPr>
                <a:t>B/W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4</xdr:row>
          <xdr:rowOff>0</xdr:rowOff>
        </xdr:from>
        <xdr:to>
          <xdr:col>20</xdr:col>
          <xdr:colOff>0</xdr:colOff>
          <xdr:row>5</xdr:row>
          <xdr:rowOff>0</xdr:rowOff>
        </xdr:to>
        <xdr:sp macro="" textlink="">
          <xdr:nvSpPr>
            <xdr:cNvPr id="5094" name="AddVector1" hidden="1">
              <a:extLst>
                <a:ext uri="{63B3BB69-23CF-44E3-9099-C40C66FF867C}">
                  <a14:compatExt spid="_x0000_s3380"/>
                </a:ext>
                <a:ext uri="{FF2B5EF4-FFF2-40B4-BE49-F238E27FC236}">
                  <a16:creationId xmlns:a16="http://schemas.microsoft.com/office/drawing/2014/main" id="{D52FF314-942C-3171-F7C0-182188ECFBB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charset="0"/>
                  <a:cs typeface="Calibri" charset="0"/>
                </a:rPr>
                <a:t>+  Vector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xdr:row>
          <xdr:rowOff>0</xdr:rowOff>
        </xdr:from>
        <xdr:to>
          <xdr:col>10</xdr:col>
          <xdr:colOff>0</xdr:colOff>
          <xdr:row>3</xdr:row>
          <xdr:rowOff>0</xdr:rowOff>
        </xdr:to>
        <xdr:sp macro="" textlink="">
          <xdr:nvSpPr>
            <xdr:cNvPr id="5095" name="ChangeParFrw" hidden="1">
              <a:extLst>
                <a:ext uri="{63B3BB69-23CF-44E3-9099-C40C66FF867C}">
                  <a14:compatExt spid="_x0000_s3381"/>
                </a:ext>
                <a:ext uri="{FF2B5EF4-FFF2-40B4-BE49-F238E27FC236}">
                  <a16:creationId xmlns:a16="http://schemas.microsoft.com/office/drawing/2014/main" id="{9EEF1D12-7B1D-1A14-826A-A780FE1BD6C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charset="0"/>
                  <a:cs typeface="Calibri" charset="0"/>
                </a:rPr>
                <a:t>≫Selected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3</xdr:row>
          <xdr:rowOff>0</xdr:rowOff>
        </xdr:from>
        <xdr:to>
          <xdr:col>10</xdr:col>
          <xdr:colOff>0</xdr:colOff>
          <xdr:row>4</xdr:row>
          <xdr:rowOff>0</xdr:rowOff>
        </xdr:to>
        <xdr:sp macro="" textlink="">
          <xdr:nvSpPr>
            <xdr:cNvPr id="5096" name="ChangeParBack" hidden="1">
              <a:extLst>
                <a:ext uri="{63B3BB69-23CF-44E3-9099-C40C66FF867C}">
                  <a14:compatExt spid="_x0000_s3382"/>
                </a:ext>
                <a:ext uri="{FF2B5EF4-FFF2-40B4-BE49-F238E27FC236}">
                  <a16:creationId xmlns:a16="http://schemas.microsoft.com/office/drawing/2014/main" id="{7037C4E2-E791-6153-0CDD-60B99DF208A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charset="0"/>
                  <a:cs typeface="Calibri" charset="0"/>
                </a:rPr>
                <a:t>&lt;&lt;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4</xdr:row>
          <xdr:rowOff>0</xdr:rowOff>
        </xdr:from>
        <xdr:to>
          <xdr:col>11</xdr:col>
          <xdr:colOff>406400</xdr:colOff>
          <xdr:row>5</xdr:row>
          <xdr:rowOff>0</xdr:rowOff>
        </xdr:to>
        <xdr:sp macro="" textlink="">
          <xdr:nvSpPr>
            <xdr:cNvPr id="5097" name="Button 311" hidden="1">
              <a:extLst>
                <a:ext uri="{63B3BB69-23CF-44E3-9099-C40C66FF867C}">
                  <a14:compatExt spid="_x0000_s3383"/>
                </a:ext>
                <a:ext uri="{FF2B5EF4-FFF2-40B4-BE49-F238E27FC236}">
                  <a16:creationId xmlns:a16="http://schemas.microsoft.com/office/drawing/2014/main" id="{A2CB156E-8926-F83A-7AA5-09C4CDC856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charset="0"/>
                  <a:cs typeface="Calibri" charset="0"/>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406400</xdr:colOff>
          <xdr:row>4</xdr:row>
          <xdr:rowOff>0</xdr:rowOff>
        </xdr:from>
        <xdr:to>
          <xdr:col>10</xdr:col>
          <xdr:colOff>0</xdr:colOff>
          <xdr:row>5</xdr:row>
          <xdr:rowOff>0</xdr:rowOff>
        </xdr:to>
        <xdr:sp macro="" textlink="">
          <xdr:nvSpPr>
            <xdr:cNvPr id="5098" name="Button 312" hidden="1">
              <a:extLst>
                <a:ext uri="{63B3BB69-23CF-44E3-9099-C40C66FF867C}">
                  <a14:compatExt spid="_x0000_s3384"/>
                </a:ext>
                <a:ext uri="{FF2B5EF4-FFF2-40B4-BE49-F238E27FC236}">
                  <a16:creationId xmlns:a16="http://schemas.microsoft.com/office/drawing/2014/main" id="{ED1A5B1D-5BAE-9B10-3D95-C435CAC3A5C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charset="0"/>
                  <a:cs typeface="Calibri" charset="0"/>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406400</xdr:colOff>
          <xdr:row>4</xdr:row>
          <xdr:rowOff>0</xdr:rowOff>
        </xdr:from>
        <xdr:to>
          <xdr:col>12</xdr:col>
          <xdr:colOff>0</xdr:colOff>
          <xdr:row>5</xdr:row>
          <xdr:rowOff>0</xdr:rowOff>
        </xdr:to>
        <xdr:sp macro="" textlink="">
          <xdr:nvSpPr>
            <xdr:cNvPr id="5099" name="Button 313" hidden="1">
              <a:extLst>
                <a:ext uri="{63B3BB69-23CF-44E3-9099-C40C66FF867C}">
                  <a14:compatExt spid="_x0000_s3385"/>
                </a:ext>
                <a:ext uri="{FF2B5EF4-FFF2-40B4-BE49-F238E27FC236}">
                  <a16:creationId xmlns:a16="http://schemas.microsoft.com/office/drawing/2014/main" id="{1C6F2B6B-A9A1-BA72-5211-2C3DDE96E2E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charset="0"/>
                  <a:cs typeface="Calibri" charset="0"/>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4</xdr:row>
          <xdr:rowOff>0</xdr:rowOff>
        </xdr:from>
        <xdr:to>
          <xdr:col>11</xdr:col>
          <xdr:colOff>0</xdr:colOff>
          <xdr:row>5</xdr:row>
          <xdr:rowOff>0</xdr:rowOff>
        </xdr:to>
        <xdr:sp macro="" textlink="">
          <xdr:nvSpPr>
            <xdr:cNvPr id="5100" name="Button 314" hidden="1">
              <a:extLst>
                <a:ext uri="{63B3BB69-23CF-44E3-9099-C40C66FF867C}">
                  <a14:compatExt spid="_x0000_s3386"/>
                </a:ext>
                <a:ext uri="{FF2B5EF4-FFF2-40B4-BE49-F238E27FC236}">
                  <a16:creationId xmlns:a16="http://schemas.microsoft.com/office/drawing/2014/main" id="{EC0303C0-DA43-4F4B-B1EF-1F7D8307B7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charset="0"/>
                  <a:cs typeface="Calibri"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1</xdr:row>
          <xdr:rowOff>0</xdr:rowOff>
        </xdr:from>
        <xdr:to>
          <xdr:col>13</xdr:col>
          <xdr:colOff>0</xdr:colOff>
          <xdr:row>2</xdr:row>
          <xdr:rowOff>0</xdr:rowOff>
        </xdr:to>
        <xdr:sp macro="" textlink="">
          <xdr:nvSpPr>
            <xdr:cNvPr id="5101" name="Button 315" hidden="1">
              <a:extLst>
                <a:ext uri="{63B3BB69-23CF-44E3-9099-C40C66FF867C}">
                  <a14:compatExt spid="_x0000_s3387"/>
                </a:ext>
                <a:ext uri="{FF2B5EF4-FFF2-40B4-BE49-F238E27FC236}">
                  <a16:creationId xmlns:a16="http://schemas.microsoft.com/office/drawing/2014/main" id="{6562F600-89F8-B7F9-41D3-30AA4562997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charset="0"/>
                  <a:cs typeface="Calibri" charset="0"/>
                </a:rPr>
                <a:t>ScienSolar </a:t>
              </a:r>
              <a:r>
                <a:rPr lang="es-MX" sz="1200" b="0" i="0" u="none" strike="noStrike" baseline="0">
                  <a:solidFill>
                    <a:srgbClr val="000000"/>
                  </a:solidFill>
                  <a:latin typeface="Calibri" pitchFamily="2" charset="0"/>
                  <a:cs typeface="Calibri" pitchFamily="2" charset="0"/>
                </a:rPr>
                <a:t>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xdr:row>
          <xdr:rowOff>0</xdr:rowOff>
        </xdr:from>
        <xdr:to>
          <xdr:col>16</xdr:col>
          <xdr:colOff>0</xdr:colOff>
          <xdr:row>2</xdr:row>
          <xdr:rowOff>0</xdr:rowOff>
        </xdr:to>
        <xdr:sp macro="" textlink="">
          <xdr:nvSpPr>
            <xdr:cNvPr id="5102" name="Button 316" hidden="1">
              <a:extLst>
                <a:ext uri="{63B3BB69-23CF-44E3-9099-C40C66FF867C}">
                  <a14:compatExt spid="_x0000_s3388"/>
                </a:ext>
                <a:ext uri="{FF2B5EF4-FFF2-40B4-BE49-F238E27FC236}">
                  <a16:creationId xmlns:a16="http://schemas.microsoft.com/office/drawing/2014/main" id="{6F4031FF-8E3E-EC05-8316-E57066D850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charset="0"/>
                  <a:cs typeface="Calibri" charset="0"/>
                </a:rPr>
                <a:t>Manual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4</xdr:row>
          <xdr:rowOff>0</xdr:rowOff>
        </xdr:from>
        <xdr:to>
          <xdr:col>9</xdr:col>
          <xdr:colOff>406400</xdr:colOff>
          <xdr:row>5</xdr:row>
          <xdr:rowOff>0</xdr:rowOff>
        </xdr:to>
        <xdr:sp macro="" textlink="">
          <xdr:nvSpPr>
            <xdr:cNvPr id="5103" name="Button 317" hidden="1">
              <a:extLst>
                <a:ext uri="{63B3BB69-23CF-44E3-9099-C40C66FF867C}">
                  <a14:compatExt spid="_x0000_s3389"/>
                </a:ext>
                <a:ext uri="{FF2B5EF4-FFF2-40B4-BE49-F238E27FC236}">
                  <a16:creationId xmlns:a16="http://schemas.microsoft.com/office/drawing/2014/main" id="{93EE62D8-1583-C23F-FBEB-334179E254F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charset="0"/>
                  <a:cs typeface="Calibri" charset="0"/>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3</xdr:row>
          <xdr:rowOff>0</xdr:rowOff>
        </xdr:from>
        <xdr:to>
          <xdr:col>1</xdr:col>
          <xdr:colOff>12700</xdr:colOff>
          <xdr:row>4</xdr:row>
          <xdr:rowOff>0</xdr:rowOff>
        </xdr:to>
        <xdr:sp macro="" textlink="">
          <xdr:nvSpPr>
            <xdr:cNvPr id="5104" name="Button 318" hidden="1">
              <a:extLst>
                <a:ext uri="{63B3BB69-23CF-44E3-9099-C40C66FF867C}">
                  <a14:compatExt spid="_x0000_s3390"/>
                </a:ext>
                <a:ext uri="{FF2B5EF4-FFF2-40B4-BE49-F238E27FC236}">
                  <a16:creationId xmlns:a16="http://schemas.microsoft.com/office/drawing/2014/main" id="{5D371E40-2287-6886-3776-5E0E4215912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charset="0"/>
                  <a:cs typeface="Calibri" charset="0"/>
                </a:rPr>
                <a:t>Get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4</xdr:row>
          <xdr:rowOff>0</xdr:rowOff>
        </xdr:from>
        <xdr:to>
          <xdr:col>25</xdr:col>
          <xdr:colOff>0</xdr:colOff>
          <xdr:row>5</xdr:row>
          <xdr:rowOff>0</xdr:rowOff>
        </xdr:to>
        <xdr:sp macro="" textlink="">
          <xdr:nvSpPr>
            <xdr:cNvPr id="5105" name="SplitText" hidden="1">
              <a:extLst>
                <a:ext uri="{63B3BB69-23CF-44E3-9099-C40C66FF867C}">
                  <a14:compatExt spid="_x0000_s3391"/>
                </a:ext>
                <a:ext uri="{FF2B5EF4-FFF2-40B4-BE49-F238E27FC236}">
                  <a16:creationId xmlns:a16="http://schemas.microsoft.com/office/drawing/2014/main" id="{2F2DD99D-2B12-182E-4718-32AAC86AB3A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charset="0"/>
                  <a:cs typeface="Calibri" charset="0"/>
                </a:rPr>
                <a:t>Split the t</a:t>
              </a:r>
              <a:r>
                <a:rPr lang="es-MX" sz="1200" b="0" i="0" u="none" strike="noStrike" baseline="0">
                  <a:solidFill>
                    <a:srgbClr val="000000"/>
                  </a:solidFill>
                  <a:latin typeface="Calibri" pitchFamily="2" charset="0"/>
                  <a:cs typeface="Calibri" pitchFamily="2" charset="0"/>
                </a:rPr>
                <a:t>ext of the selected cell</a:t>
              </a:r>
            </a:p>
          </xdr:txBody>
        </xdr:sp>
        <xdr:clientData fPrintsWithSheet="0"/>
      </xdr:twoCellAnchor>
    </mc:Choice>
    <mc:Fallback/>
  </mc:AlternateContent>
  <xdr:twoCellAnchor>
    <xdr:from>
      <xdr:col>12</xdr:col>
      <xdr:colOff>231600</xdr:colOff>
      <xdr:row>23</xdr:row>
      <xdr:rowOff>114300</xdr:rowOff>
    </xdr:from>
    <xdr:to>
      <xdr:col>13</xdr:col>
      <xdr:colOff>63500</xdr:colOff>
      <xdr:row>26</xdr:row>
      <xdr:rowOff>139700</xdr:rowOff>
    </xdr:to>
    <xdr:sp macro="" textlink="">
      <xdr:nvSpPr>
        <xdr:cNvPr id="5106" name="EjeX">
          <a:extLst>
            <a:ext uri="{FF2B5EF4-FFF2-40B4-BE49-F238E27FC236}">
              <a16:creationId xmlns:a16="http://schemas.microsoft.com/office/drawing/2014/main" id="{FD2A57BE-8F8D-8AD3-B57C-50F49BB418E8}"/>
            </a:ext>
          </a:extLst>
        </xdr:cNvPr>
        <xdr:cNvSpPr/>
      </xdr:nvSpPr>
      <xdr:spPr>
        <a:xfrm>
          <a:off x="10137600" y="5080000"/>
          <a:ext cx="657400" cy="635000"/>
        </a:xfrm>
        <a:prstGeom prst="lineInv">
          <a:avLst/>
        </a:prstGeom>
        <a:ln>
          <a:solidFill>
            <a:srgbClr val="000000"/>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MX" sz="1100"/>
        </a:p>
      </xdr:txBody>
    </xdr:sp>
    <xdr:clientData/>
  </xdr:twoCellAnchor>
  <xdr:twoCellAnchor>
    <xdr:from>
      <xdr:col>13</xdr:col>
      <xdr:colOff>63500</xdr:colOff>
      <xdr:row>23</xdr:row>
      <xdr:rowOff>114300</xdr:rowOff>
    </xdr:from>
    <xdr:to>
      <xdr:col>16</xdr:col>
      <xdr:colOff>40452</xdr:colOff>
      <xdr:row>24</xdr:row>
      <xdr:rowOff>81248</xdr:rowOff>
    </xdr:to>
    <xdr:sp macro="" textlink="">
      <xdr:nvSpPr>
        <xdr:cNvPr id="5107" name="EjeY">
          <a:extLst>
            <a:ext uri="{FF2B5EF4-FFF2-40B4-BE49-F238E27FC236}">
              <a16:creationId xmlns:a16="http://schemas.microsoft.com/office/drawing/2014/main" id="{04C2F1EB-460E-7335-E4AC-18A6738C4D8A}"/>
            </a:ext>
          </a:extLst>
        </xdr:cNvPr>
        <xdr:cNvSpPr/>
      </xdr:nvSpPr>
      <xdr:spPr>
        <a:xfrm flipH="1">
          <a:off x="10795000" y="5080000"/>
          <a:ext cx="2453452" cy="170148"/>
        </a:xfrm>
        <a:prstGeom prst="lineInv">
          <a:avLst/>
        </a:prstGeom>
        <a:ln>
          <a:solidFill>
            <a:srgbClr val="000000"/>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MX" sz="1100"/>
        </a:p>
      </xdr:txBody>
    </xdr:sp>
    <xdr:clientData/>
  </xdr:twoCellAnchor>
  <xdr:twoCellAnchor>
    <xdr:from>
      <xdr:col>13</xdr:col>
      <xdr:colOff>63500</xdr:colOff>
      <xdr:row>11</xdr:row>
      <xdr:rowOff>99248</xdr:rowOff>
    </xdr:from>
    <xdr:to>
      <xdr:col>13</xdr:col>
      <xdr:colOff>63500</xdr:colOff>
      <xdr:row>23</xdr:row>
      <xdr:rowOff>114300</xdr:rowOff>
    </xdr:to>
    <xdr:sp macro="" textlink="">
      <xdr:nvSpPr>
        <xdr:cNvPr id="5108" name="EjeZ">
          <a:extLst>
            <a:ext uri="{FF2B5EF4-FFF2-40B4-BE49-F238E27FC236}">
              <a16:creationId xmlns:a16="http://schemas.microsoft.com/office/drawing/2014/main" id="{5D6E103E-F13E-88DA-C04E-1C12ED9B6B21}"/>
            </a:ext>
          </a:extLst>
        </xdr:cNvPr>
        <xdr:cNvSpPr/>
      </xdr:nvSpPr>
      <xdr:spPr>
        <a:xfrm>
          <a:off x="10795000" y="2626548"/>
          <a:ext cx="0" cy="2453452"/>
        </a:xfrm>
        <a:prstGeom prst="lineInv">
          <a:avLst/>
        </a:prstGeom>
        <a:ln>
          <a:solidFill>
            <a:srgbClr val="000000"/>
          </a:solidFill>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MX" sz="1100"/>
        </a:p>
      </xdr:txBody>
    </xdr:sp>
    <xdr:clientData/>
  </xdr:twoCellAnchor>
  <xdr:twoCellAnchor>
    <xdr:from>
      <xdr:col>12</xdr:col>
      <xdr:colOff>231600</xdr:colOff>
      <xdr:row>26</xdr:row>
      <xdr:rowOff>139700</xdr:rowOff>
    </xdr:from>
    <xdr:to>
      <xdr:col>13</xdr:col>
      <xdr:colOff>676100</xdr:colOff>
      <xdr:row>27</xdr:row>
      <xdr:rowOff>200931</xdr:rowOff>
    </xdr:to>
    <xdr:sp macro="" textlink="">
      <xdr:nvSpPr>
        <xdr:cNvPr id="5109" name="Cuadrox">
          <a:extLst>
            <a:ext uri="{FF2B5EF4-FFF2-40B4-BE49-F238E27FC236}">
              <a16:creationId xmlns:a16="http://schemas.microsoft.com/office/drawing/2014/main" id="{BC3E3DD9-8364-09CD-B1D7-99E6DDCBCA16}"/>
            </a:ext>
          </a:extLst>
        </xdr:cNvPr>
        <xdr:cNvSpPr txBox="1"/>
      </xdr:nvSpPr>
      <xdr:spPr>
        <a:xfrm>
          <a:off x="10137600" y="5715000"/>
          <a:ext cx="1270000" cy="26443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spAutoFit/>
        </a:bodyPr>
        <a:lstStyle/>
        <a:p>
          <a:r>
            <a:rPr lang="es-MX" sz="1100">
              <a:solidFill>
                <a:srgbClr val="000000"/>
              </a:solidFill>
            </a:rPr>
            <a:t>x</a:t>
          </a:r>
        </a:p>
      </xdr:txBody>
    </xdr:sp>
    <xdr:clientData/>
  </xdr:twoCellAnchor>
  <xdr:twoCellAnchor>
    <xdr:from>
      <xdr:col>16</xdr:col>
      <xdr:colOff>40452</xdr:colOff>
      <xdr:row>24</xdr:row>
      <xdr:rowOff>81248</xdr:rowOff>
    </xdr:from>
    <xdr:to>
      <xdr:col>17</xdr:col>
      <xdr:colOff>484952</xdr:colOff>
      <xdr:row>25</xdr:row>
      <xdr:rowOff>142479</xdr:rowOff>
    </xdr:to>
    <xdr:sp macro="" textlink="">
      <xdr:nvSpPr>
        <xdr:cNvPr id="5110" name="Cuadroy">
          <a:extLst>
            <a:ext uri="{FF2B5EF4-FFF2-40B4-BE49-F238E27FC236}">
              <a16:creationId xmlns:a16="http://schemas.microsoft.com/office/drawing/2014/main" id="{747C9BFC-A7E0-9DFA-2802-9DCEFBDA888F}"/>
            </a:ext>
          </a:extLst>
        </xdr:cNvPr>
        <xdr:cNvSpPr txBox="1"/>
      </xdr:nvSpPr>
      <xdr:spPr>
        <a:xfrm>
          <a:off x="13248452" y="5250148"/>
          <a:ext cx="1270000" cy="26443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spAutoFit/>
        </a:bodyPr>
        <a:lstStyle/>
        <a:p>
          <a:r>
            <a:rPr lang="es-MX" sz="1100">
              <a:solidFill>
                <a:srgbClr val="000000"/>
              </a:solidFill>
            </a:rPr>
            <a:t>y</a:t>
          </a:r>
        </a:p>
      </xdr:txBody>
    </xdr:sp>
    <xdr:clientData/>
  </xdr:twoCellAnchor>
  <xdr:twoCellAnchor>
    <xdr:from>
      <xdr:col>13</xdr:col>
      <xdr:colOff>63500</xdr:colOff>
      <xdr:row>11</xdr:row>
      <xdr:rowOff>99248</xdr:rowOff>
    </xdr:from>
    <xdr:to>
      <xdr:col>14</xdr:col>
      <xdr:colOff>508000</xdr:colOff>
      <xdr:row>12</xdr:row>
      <xdr:rowOff>160479</xdr:rowOff>
    </xdr:to>
    <xdr:sp macro="" textlink="">
      <xdr:nvSpPr>
        <xdr:cNvPr id="5111" name="Cuadroz">
          <a:extLst>
            <a:ext uri="{FF2B5EF4-FFF2-40B4-BE49-F238E27FC236}">
              <a16:creationId xmlns:a16="http://schemas.microsoft.com/office/drawing/2014/main" id="{B3839A77-5608-7F43-92F0-EDAB249F0694}"/>
            </a:ext>
          </a:extLst>
        </xdr:cNvPr>
        <xdr:cNvSpPr txBox="1"/>
      </xdr:nvSpPr>
      <xdr:spPr>
        <a:xfrm>
          <a:off x="10795000" y="2626548"/>
          <a:ext cx="1270000" cy="26443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spAutoFit/>
        </a:bodyPr>
        <a:lstStyle/>
        <a:p>
          <a:r>
            <a:rPr lang="es-MX" sz="1100">
              <a:solidFill>
                <a:srgbClr val="000000"/>
              </a:solidFill>
            </a:rPr>
            <a:t>z</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254000</xdr:colOff>
          <xdr:row>7</xdr:row>
          <xdr:rowOff>101600</xdr:rowOff>
        </xdr:from>
        <xdr:to>
          <xdr:col>1</xdr:col>
          <xdr:colOff>647700</xdr:colOff>
          <xdr:row>8</xdr:row>
          <xdr:rowOff>165100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C26A4E8C-4EE6-F1C2-1844-6257C0EDEA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200" b="0" i="0" u="none" strike="noStrike" baseline="0">
                  <a:solidFill>
                    <a:srgbClr val="000000"/>
                  </a:solidFill>
                  <a:latin typeface="Calibri" pitchFamily="2" charset="0"/>
                  <a:cs typeface="Calibri" pitchFamily="2" charset="0"/>
                </a:rPr>
                <a:t>New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46</xdr:row>
          <xdr:rowOff>0</xdr:rowOff>
        </xdr:from>
        <xdr:to>
          <xdr:col>0</xdr:col>
          <xdr:colOff>787400</xdr:colOff>
          <xdr:row>47</xdr:row>
          <xdr:rowOff>177800</xdr:rowOff>
        </xdr:to>
        <xdr:sp macro="" textlink="">
          <xdr:nvSpPr>
            <xdr:cNvPr id="2051" name="RefreshList" hidden="1">
              <a:extLst>
                <a:ext uri="{63B3BB69-23CF-44E3-9099-C40C66FF867C}">
                  <a14:compatExt spid="_x0000_s2051"/>
                </a:ext>
                <a:ext uri="{FF2B5EF4-FFF2-40B4-BE49-F238E27FC236}">
                  <a16:creationId xmlns:a16="http://schemas.microsoft.com/office/drawing/2014/main" id="{AA78869A-6765-FD3F-D096-A97E50EAF1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200" b="0" i="0" u="none" strike="noStrike" baseline="0">
                  <a:solidFill>
                    <a:srgbClr val="000000"/>
                  </a:solidFill>
                  <a:latin typeface="Calibri" pitchFamily="2" charset="0"/>
                  <a:cs typeface="Calibri" pitchFamily="2" charset="0"/>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787400</xdr:colOff>
          <xdr:row>44</xdr:row>
          <xdr:rowOff>190500</xdr:rowOff>
        </xdr:to>
        <xdr:sp macro="" textlink="">
          <xdr:nvSpPr>
            <xdr:cNvPr id="2052" name="LangList2" hidden="1">
              <a:extLst>
                <a:ext uri="{63B3BB69-23CF-44E3-9099-C40C66FF867C}">
                  <a14:compatExt spid="_x0000_s2052"/>
                </a:ext>
                <a:ext uri="{FF2B5EF4-FFF2-40B4-BE49-F238E27FC236}">
                  <a16:creationId xmlns:a16="http://schemas.microsoft.com/office/drawing/2014/main" id="{CD418D4C-AC08-E4EC-6E94-A4FA1B1F40B6}"/>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406400</xdr:colOff>
          <xdr:row>7</xdr:row>
          <xdr:rowOff>63500</xdr:rowOff>
        </xdr:from>
        <xdr:to>
          <xdr:col>8</xdr:col>
          <xdr:colOff>279400</xdr:colOff>
          <xdr:row>9</xdr:row>
          <xdr:rowOff>38100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200" b="0" i="0" u="none" strike="noStrike" baseline="0">
                  <a:solidFill>
                    <a:srgbClr val="000000"/>
                  </a:solidFill>
                  <a:latin typeface="Calibri" pitchFamily="2" charset="0"/>
                  <a:cs typeface="Calibri" pitchFamily="2" charset="0"/>
                </a:rPr>
                <a:t>Botón 1</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omments" Target="../comments1.xml"/><Relationship Id="rId21" Type="http://schemas.openxmlformats.org/officeDocument/2006/relationships/ctrlProp" Target="../ctrlProps/ctrlProp19.xml"/><Relationship Id="rId34" Type="http://schemas.openxmlformats.org/officeDocument/2006/relationships/ctrlProp" Target="../ctrlProps/ctrlProp32.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8" Type="http://schemas.openxmlformats.org/officeDocument/2006/relationships/ctrlProp" Target="../ctrlProps/ctrlProp6.xml"/><Relationship Id="rId3"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7.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omments" Target="../comments2.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0.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2071D2-73AE-424D-90D2-00568906993F}">
  <sheetPr codeName="Hoja2"/>
  <dimension ref="A1:AE347"/>
  <sheetViews>
    <sheetView showGridLines="0" tabSelected="1" zoomScale="90" zoomScaleNormal="90" workbookViewId="0">
      <selection activeCell="G7" sqref="G7"/>
    </sheetView>
  </sheetViews>
  <sheetFormatPr baseColWidth="10" defaultRowHeight="16" x14ac:dyDescent="0.2"/>
  <cols>
    <col min="1" max="7" width="10.83203125" style="2"/>
    <col min="8" max="8" width="10.83203125" style="17"/>
    <col min="9" max="16384" width="10.83203125" style="2"/>
  </cols>
  <sheetData>
    <row r="1" spans="1:31" ht="17" thickBot="1" x14ac:dyDescent="0.25">
      <c r="A1" s="3"/>
      <c r="B1" s="3"/>
      <c r="C1" s="3"/>
      <c r="D1" s="3" t="s">
        <v>1044</v>
      </c>
      <c r="E1" s="3">
        <v>8</v>
      </c>
      <c r="F1" s="3">
        <v>45</v>
      </c>
      <c r="G1" s="3">
        <f>E1*F1</f>
        <v>360</v>
      </c>
      <c r="H1" s="14"/>
      <c r="I1" s="3"/>
      <c r="J1" s="3"/>
      <c r="K1" s="4"/>
    </row>
    <row r="2" spans="1:31" ht="17" thickTop="1" x14ac:dyDescent="0.2">
      <c r="A2" s="7" t="s">
        <v>952</v>
      </c>
      <c r="B2" s="7"/>
      <c r="C2" s="7"/>
      <c r="D2" s="7">
        <v>0</v>
      </c>
      <c r="E2" s="7" t="str">
        <f>CONFIG!$D$2</f>
        <v>Origin</v>
      </c>
      <c r="F2" s="7"/>
      <c r="G2" s="7"/>
      <c r="H2" s="15" t="str">
        <f>CONFIG!$H$2</f>
        <v>Dynamic parameters</v>
      </c>
      <c r="I2" s="7"/>
      <c r="J2" s="7">
        <v>1</v>
      </c>
      <c r="K2" s="8"/>
      <c r="N2" s="18"/>
      <c r="O2" s="18"/>
      <c r="P2" s="18"/>
      <c r="Q2" s="18"/>
      <c r="R2" s="18"/>
      <c r="S2" s="18"/>
      <c r="T2" s="18">
        <v>1</v>
      </c>
      <c r="U2" s="18"/>
      <c r="V2" s="18"/>
      <c r="W2" s="18"/>
      <c r="X2" s="18"/>
      <c r="Y2" s="18"/>
      <c r="Z2" s="18"/>
      <c r="AA2" s="18"/>
      <c r="AB2" s="18"/>
      <c r="AC2" s="18"/>
      <c r="AD2" s="18"/>
      <c r="AE2" s="18"/>
    </row>
    <row r="3" spans="1:31" x14ac:dyDescent="0.2">
      <c r="A3" s="7"/>
      <c r="B3" s="7"/>
      <c r="C3" s="7"/>
      <c r="D3" s="7" t="str">
        <f>CONFIG!$D$3</f>
        <v>Left:</v>
      </c>
      <c r="E3" s="7">
        <f>CONFIG!$E$3</f>
        <v>850</v>
      </c>
      <c r="F3" s="26"/>
      <c r="G3" s="7"/>
      <c r="H3" s="15" t="str">
        <f>CONFIG!$H$3</f>
        <v>Step:</v>
      </c>
      <c r="I3" s="7">
        <f>CONFIG!$I$3</f>
        <v>8</v>
      </c>
      <c r="J3" s="7"/>
      <c r="K3" s="9" t="s">
        <v>1045</v>
      </c>
      <c r="L3" s="18"/>
      <c r="M3" s="18"/>
      <c r="N3" s="18"/>
      <c r="O3" s="18"/>
      <c r="P3" s="18"/>
      <c r="Q3" s="18"/>
      <c r="R3" s="18"/>
      <c r="S3" s="18"/>
      <c r="T3" s="18"/>
      <c r="U3" s="18"/>
      <c r="V3" s="18"/>
      <c r="W3" s="18"/>
      <c r="X3" s="18"/>
      <c r="Y3" s="18"/>
      <c r="Z3" s="18"/>
      <c r="AA3" s="18"/>
      <c r="AB3" s="18"/>
      <c r="AC3" s="18"/>
      <c r="AD3" s="18"/>
      <c r="AE3" s="18"/>
    </row>
    <row r="4" spans="1:31" ht="17" thickBot="1" x14ac:dyDescent="0.25">
      <c r="A4" s="10"/>
      <c r="B4" s="10"/>
      <c r="C4" s="11" t="s">
        <v>1036</v>
      </c>
      <c r="D4" s="7" t="str">
        <f>CONFIG!$D$4</f>
        <v>Up:</v>
      </c>
      <c r="E4" s="7">
        <f>CONFIG!$E$4</f>
        <v>400</v>
      </c>
      <c r="F4" s="26" t="str">
        <f>CONFIG!$F$4</f>
        <v>x</v>
      </c>
      <c r="G4" s="7">
        <f>CONFIG!$G$4</f>
        <v>0</v>
      </c>
      <c r="H4" s="15" t="str">
        <f>CONFIG!$H$4</f>
        <v>No. steps:</v>
      </c>
      <c r="I4" s="7">
        <f>CONFIG!$I$4</f>
        <v>45</v>
      </c>
      <c r="J4" s="7"/>
      <c r="K4" s="13" t="s">
        <v>1043</v>
      </c>
      <c r="L4" s="18"/>
      <c r="M4" s="18"/>
      <c r="N4" s="18"/>
      <c r="O4" s="18"/>
      <c r="P4" s="18"/>
      <c r="Q4" s="18"/>
      <c r="R4" s="18"/>
      <c r="S4" s="18"/>
      <c r="T4" s="18"/>
      <c r="U4" s="18"/>
      <c r="V4" s="18"/>
      <c r="W4" s="18"/>
      <c r="X4" s="18"/>
      <c r="Y4" s="18"/>
      <c r="Z4" s="18"/>
      <c r="AA4" s="18"/>
      <c r="AB4" s="18"/>
      <c r="AC4" s="18"/>
      <c r="AD4" s="18"/>
      <c r="AE4" s="18"/>
    </row>
    <row r="5" spans="1:31" ht="18" thickTop="1" thickBot="1" x14ac:dyDescent="0.25">
      <c r="B5" s="2" t="s">
        <v>1046</v>
      </c>
      <c r="C5" s="5"/>
      <c r="D5" s="7" t="str">
        <f>CONFIG!$D$5</f>
        <v>Scale:</v>
      </c>
      <c r="E5" s="7">
        <f>CONFIG!$E$5</f>
        <v>20</v>
      </c>
      <c r="F5" s="26" t="str">
        <f>CONFIG!$F$5</f>
        <v>y</v>
      </c>
      <c r="G5" s="7">
        <f>CONFIG!$G$5</f>
        <v>15</v>
      </c>
      <c r="H5" s="16" t="str">
        <f>CONFIG!$H$5</f>
        <v>Parameter:</v>
      </c>
      <c r="I5" s="10">
        <f>CONFIG!$I$5</f>
        <v>0</v>
      </c>
      <c r="J5" s="10"/>
      <c r="K5" s="6"/>
      <c r="L5" s="18"/>
      <c r="M5" s="18"/>
      <c r="N5" s="18"/>
      <c r="O5" s="18"/>
      <c r="P5" s="18"/>
      <c r="Q5" s="18"/>
      <c r="R5" s="18"/>
      <c r="S5" s="18"/>
      <c r="T5" s="18"/>
      <c r="U5" s="18"/>
      <c r="V5" s="18"/>
      <c r="W5" s="18"/>
      <c r="X5" s="18"/>
      <c r="Y5" s="18"/>
      <c r="Z5" s="18"/>
      <c r="AA5" s="18"/>
      <c r="AB5" s="18"/>
      <c r="AC5" s="18"/>
      <c r="AD5" s="18"/>
      <c r="AE5" s="18"/>
    </row>
    <row r="6" spans="1:31" ht="23" thickTop="1" thickBot="1" x14ac:dyDescent="0.3">
      <c r="C6" s="5"/>
      <c r="D6" s="10" t="str">
        <f>CONFIG!$D$6</f>
        <v>Axes lenght:</v>
      </c>
      <c r="E6" s="10">
        <f>CONFIG!$E$6</f>
        <v>200</v>
      </c>
      <c r="F6" s="27" t="str">
        <f>CONFIG!$F$6</f>
        <v>z</v>
      </c>
      <c r="G6" s="12">
        <f>CONFIG!$G$6</f>
        <v>15</v>
      </c>
      <c r="H6" s="23"/>
      <c r="I6" s="23"/>
      <c r="J6" s="23"/>
      <c r="K6" s="23"/>
      <c r="L6" s="23"/>
      <c r="M6" s="23"/>
      <c r="N6" s="23"/>
      <c r="O6" s="23"/>
      <c r="P6" s="23"/>
      <c r="Q6" s="23"/>
      <c r="R6" s="23"/>
      <c r="S6" s="23"/>
      <c r="T6" s="23"/>
      <c r="U6" s="18"/>
      <c r="V6" s="23"/>
      <c r="W6" s="23"/>
      <c r="X6" s="23"/>
      <c r="Y6" s="23"/>
      <c r="Z6" s="23"/>
      <c r="AA6" s="23"/>
      <c r="AB6" s="23"/>
      <c r="AC6" s="23"/>
      <c r="AD6" s="23"/>
      <c r="AE6" s="18"/>
    </row>
    <row r="7" spans="1:31" ht="22" thickTop="1" x14ac:dyDescent="0.25">
      <c r="D7" s="20"/>
      <c r="E7" s="18"/>
      <c r="F7" s="24"/>
      <c r="G7" s="25"/>
      <c r="H7" s="23"/>
      <c r="I7" s="23"/>
      <c r="J7" s="23"/>
      <c r="K7" s="23"/>
      <c r="L7" s="23"/>
      <c r="M7" s="23"/>
      <c r="N7" s="23"/>
      <c r="O7" s="23"/>
      <c r="P7" s="23"/>
      <c r="Q7" s="23"/>
      <c r="R7" s="23"/>
      <c r="S7" s="23"/>
      <c r="T7" s="23"/>
      <c r="U7" s="18"/>
      <c r="V7" s="23"/>
      <c r="W7" s="23"/>
      <c r="X7" s="23"/>
      <c r="Y7" s="23"/>
      <c r="Z7" s="23"/>
      <c r="AA7" s="23"/>
      <c r="AB7" s="23"/>
      <c r="AC7" s="23"/>
      <c r="AD7" s="23"/>
      <c r="AE7" s="18"/>
    </row>
    <row r="8" spans="1:31" ht="21" x14ac:dyDescent="0.25">
      <c r="D8" s="28"/>
      <c r="E8" s="28"/>
      <c r="F8" s="28"/>
      <c r="G8" s="28"/>
      <c r="H8" s="23"/>
      <c r="I8" s="23"/>
      <c r="J8" s="23"/>
      <c r="K8" s="23"/>
      <c r="L8" s="23"/>
      <c r="M8" s="23"/>
      <c r="N8" s="23"/>
      <c r="O8" s="23"/>
      <c r="P8" s="23"/>
      <c r="Q8" s="23"/>
      <c r="R8" s="23"/>
      <c r="S8" s="23"/>
      <c r="T8" s="23"/>
      <c r="U8" s="18"/>
      <c r="V8" s="23"/>
      <c r="W8" s="23"/>
      <c r="X8" s="23"/>
      <c r="Y8" s="23"/>
      <c r="Z8" s="23"/>
      <c r="AA8" s="23"/>
      <c r="AB8" s="23"/>
      <c r="AC8" s="23"/>
      <c r="AD8" s="23"/>
      <c r="AE8" s="18"/>
    </row>
    <row r="9" spans="1:31" x14ac:dyDescent="0.2">
      <c r="D9" s="18"/>
      <c r="E9" s="18"/>
      <c r="F9" s="24"/>
      <c r="G9" s="25"/>
      <c r="H9" s="21"/>
      <c r="I9" s="22"/>
      <c r="J9" s="22"/>
      <c r="K9" s="22"/>
      <c r="L9" s="22"/>
      <c r="M9" s="22"/>
      <c r="N9" s="22"/>
      <c r="O9" s="22"/>
      <c r="P9" s="22"/>
      <c r="Q9" s="22"/>
      <c r="R9" s="22"/>
      <c r="S9" s="22"/>
      <c r="T9" s="22"/>
      <c r="U9" s="18"/>
      <c r="V9" s="22"/>
      <c r="W9" s="22"/>
      <c r="X9" s="22"/>
      <c r="Y9" s="22"/>
      <c r="Z9" s="22"/>
      <c r="AA9" s="22"/>
      <c r="AB9" s="22"/>
      <c r="AC9" s="22"/>
      <c r="AD9" s="22"/>
      <c r="AE9" s="18"/>
    </row>
    <row r="10" spans="1:31" x14ac:dyDescent="0.2">
      <c r="D10" s="18"/>
      <c r="E10" s="18"/>
      <c r="F10" s="24"/>
      <c r="G10" s="25"/>
      <c r="H10" s="21"/>
      <c r="I10" s="22"/>
      <c r="J10" s="22"/>
      <c r="K10" s="22"/>
      <c r="L10" s="22"/>
      <c r="M10" s="22"/>
      <c r="N10" s="22"/>
      <c r="O10" s="22"/>
      <c r="P10" s="22"/>
      <c r="Q10" s="22"/>
      <c r="R10" s="22"/>
      <c r="S10" s="22"/>
      <c r="T10" s="22"/>
      <c r="U10" s="18"/>
      <c r="V10" s="22"/>
      <c r="W10" s="22"/>
      <c r="X10" s="22"/>
      <c r="Y10" s="22"/>
      <c r="Z10" s="22"/>
      <c r="AA10" s="22"/>
      <c r="AB10" s="22"/>
      <c r="AC10" s="22"/>
      <c r="AD10" s="22"/>
      <c r="AE10" s="18"/>
    </row>
    <row r="11" spans="1:31" x14ac:dyDescent="0.2">
      <c r="D11" s="18"/>
      <c r="E11" s="18"/>
      <c r="F11" s="24"/>
      <c r="G11" s="25"/>
      <c r="H11" s="21"/>
      <c r="I11" s="22"/>
      <c r="J11" s="22"/>
      <c r="K11" s="22"/>
      <c r="L11" s="22"/>
      <c r="M11" s="22"/>
      <c r="N11" s="22"/>
      <c r="O11" s="22"/>
      <c r="P11" s="22"/>
      <c r="Q11" s="22"/>
      <c r="R11" s="22"/>
      <c r="S11" s="22"/>
      <c r="T11" s="22"/>
      <c r="U11" s="18"/>
      <c r="V11" s="22"/>
      <c r="W11" s="22"/>
      <c r="X11" s="22"/>
      <c r="Y11" s="22"/>
      <c r="Z11" s="22"/>
      <c r="AA11" s="22"/>
      <c r="AB11" s="22"/>
      <c r="AC11" s="22"/>
      <c r="AD11" s="22"/>
      <c r="AE11" s="18"/>
    </row>
    <row r="12" spans="1:31" x14ac:dyDescent="0.2">
      <c r="D12" s="18"/>
      <c r="E12" s="18"/>
      <c r="F12" s="24"/>
      <c r="G12" s="25"/>
      <c r="H12" s="21"/>
      <c r="I12" s="22"/>
      <c r="J12" s="22"/>
      <c r="K12" s="22"/>
      <c r="L12" s="22"/>
      <c r="M12" s="22"/>
      <c r="N12" s="22"/>
      <c r="O12" s="22"/>
      <c r="P12" s="22"/>
      <c r="Q12" s="22"/>
      <c r="R12" s="22"/>
      <c r="S12" s="22"/>
      <c r="T12" s="22"/>
      <c r="U12" s="18"/>
      <c r="V12" s="22"/>
      <c r="W12" s="22"/>
      <c r="X12" s="22"/>
      <c r="Y12" s="22"/>
      <c r="Z12" s="22"/>
      <c r="AA12" s="22"/>
      <c r="AB12" s="22"/>
      <c r="AC12" s="22"/>
      <c r="AD12" s="22"/>
      <c r="AE12" s="18"/>
    </row>
    <row r="13" spans="1:31" x14ac:dyDescent="0.2">
      <c r="D13" s="18"/>
      <c r="E13" s="18"/>
      <c r="F13" s="24"/>
      <c r="G13" s="25"/>
      <c r="H13" s="21"/>
      <c r="I13" s="22"/>
      <c r="J13" s="22"/>
      <c r="K13" s="22"/>
      <c r="L13" s="22"/>
      <c r="M13" s="22"/>
      <c r="N13" s="22"/>
      <c r="O13" s="22"/>
      <c r="P13" s="22"/>
      <c r="Q13" s="22"/>
      <c r="R13" s="22"/>
      <c r="S13" s="22"/>
      <c r="T13" s="22"/>
      <c r="U13" s="18"/>
      <c r="V13" s="22"/>
      <c r="W13" s="22"/>
      <c r="X13" s="22"/>
      <c r="Y13" s="22"/>
      <c r="Z13" s="22"/>
      <c r="AA13" s="22"/>
      <c r="AB13" s="22"/>
      <c r="AC13" s="22"/>
      <c r="AD13" s="22"/>
      <c r="AE13" s="18"/>
    </row>
    <row r="14" spans="1:31" x14ac:dyDescent="0.2">
      <c r="D14" s="18"/>
      <c r="E14" s="18"/>
      <c r="F14" s="24"/>
      <c r="G14" s="25"/>
      <c r="H14" s="21"/>
      <c r="I14" s="22"/>
      <c r="J14" s="22"/>
      <c r="K14" s="22"/>
      <c r="L14" s="22"/>
      <c r="M14" s="22"/>
      <c r="N14" s="22"/>
      <c r="O14" s="22"/>
      <c r="P14" s="22"/>
      <c r="Q14" s="22"/>
      <c r="R14" s="22"/>
      <c r="S14" s="22"/>
      <c r="T14" s="22"/>
      <c r="U14" s="18"/>
      <c r="V14" s="22"/>
      <c r="W14" s="22"/>
      <c r="X14" s="22"/>
      <c r="Y14" s="22"/>
      <c r="Z14" s="22"/>
      <c r="AA14" s="22"/>
      <c r="AB14" s="22"/>
      <c r="AC14" s="22"/>
      <c r="AD14" s="22"/>
      <c r="AE14" s="18"/>
    </row>
    <row r="15" spans="1:31" x14ac:dyDescent="0.2">
      <c r="D15" s="18"/>
      <c r="E15" s="18"/>
      <c r="F15" s="24"/>
      <c r="G15" s="25"/>
      <c r="H15" s="21"/>
      <c r="I15" s="22"/>
      <c r="J15" s="22"/>
      <c r="K15" s="22"/>
      <c r="L15" s="22"/>
      <c r="M15" s="22"/>
      <c r="N15" s="22"/>
      <c r="O15" s="22"/>
      <c r="P15" s="22"/>
      <c r="Q15" s="22"/>
      <c r="R15" s="22"/>
      <c r="S15" s="22"/>
      <c r="T15" s="22"/>
      <c r="U15" s="18"/>
      <c r="V15" s="22"/>
      <c r="W15" s="22"/>
      <c r="X15" s="22"/>
      <c r="Y15" s="22"/>
      <c r="Z15" s="22"/>
      <c r="AA15" s="22"/>
      <c r="AB15" s="22"/>
      <c r="AC15" s="22"/>
      <c r="AD15" s="22"/>
      <c r="AE15" s="18"/>
    </row>
    <row r="16" spans="1:31" x14ac:dyDescent="0.2">
      <c r="D16" s="18"/>
      <c r="E16" s="18"/>
      <c r="F16" s="24"/>
      <c r="G16" s="25"/>
      <c r="H16" s="21"/>
      <c r="I16" s="22"/>
      <c r="J16" s="22"/>
      <c r="K16" s="22"/>
      <c r="L16" s="22"/>
      <c r="M16" s="22"/>
      <c r="N16" s="22"/>
      <c r="O16" s="22"/>
      <c r="P16" s="22"/>
      <c r="Q16" s="22"/>
      <c r="R16" s="22"/>
      <c r="S16" s="22"/>
      <c r="T16" s="22"/>
      <c r="U16" s="18"/>
      <c r="V16" s="22"/>
      <c r="W16" s="22"/>
      <c r="X16" s="22"/>
      <c r="Y16" s="22"/>
      <c r="Z16" s="22"/>
      <c r="AA16" s="22"/>
      <c r="AB16" s="22"/>
      <c r="AC16" s="22"/>
      <c r="AD16" s="22"/>
      <c r="AE16" s="18"/>
    </row>
    <row r="17" spans="4:31" x14ac:dyDescent="0.2">
      <c r="D17" s="18"/>
      <c r="E17" s="18"/>
      <c r="F17" s="24"/>
      <c r="G17" s="25"/>
      <c r="H17" s="21"/>
      <c r="I17" s="22"/>
      <c r="J17" s="22"/>
      <c r="K17" s="22"/>
      <c r="L17" s="22"/>
      <c r="M17" s="22"/>
      <c r="N17" s="22"/>
      <c r="O17" s="22"/>
      <c r="P17" s="22"/>
      <c r="Q17" s="22"/>
      <c r="R17" s="22"/>
      <c r="S17" s="22"/>
      <c r="T17" s="22"/>
      <c r="U17" s="18"/>
      <c r="V17" s="22"/>
      <c r="W17" s="22"/>
      <c r="X17" s="22"/>
      <c r="Y17" s="22"/>
      <c r="Z17" s="22"/>
      <c r="AA17" s="22"/>
      <c r="AB17" s="22"/>
      <c r="AC17" s="22"/>
      <c r="AD17" s="22"/>
      <c r="AE17" s="18"/>
    </row>
    <row r="18" spans="4:31" x14ac:dyDescent="0.2">
      <c r="D18" s="18"/>
      <c r="E18" s="18"/>
      <c r="F18" s="24"/>
      <c r="G18" s="25"/>
      <c r="H18" s="21"/>
      <c r="I18" s="22"/>
      <c r="J18" s="22"/>
      <c r="K18" s="22"/>
      <c r="L18" s="22"/>
      <c r="M18" s="22"/>
      <c r="N18" s="22"/>
      <c r="O18" s="22"/>
      <c r="P18" s="22"/>
      <c r="Q18" s="22"/>
      <c r="R18" s="22"/>
      <c r="S18" s="22"/>
      <c r="T18" s="22"/>
      <c r="U18" s="18"/>
      <c r="V18" s="22"/>
      <c r="W18" s="22"/>
      <c r="X18" s="22"/>
      <c r="Y18" s="22"/>
      <c r="Z18" s="22"/>
      <c r="AA18" s="22"/>
      <c r="AB18" s="22"/>
      <c r="AC18" s="22"/>
      <c r="AD18" s="22"/>
      <c r="AE18" s="18"/>
    </row>
    <row r="19" spans="4:31" x14ac:dyDescent="0.2">
      <c r="D19" s="18"/>
      <c r="E19" s="18"/>
      <c r="F19" s="24"/>
      <c r="G19" s="25"/>
      <c r="H19" s="21"/>
      <c r="I19" s="22"/>
      <c r="J19" s="22"/>
      <c r="K19" s="22"/>
      <c r="L19" s="22"/>
      <c r="M19" s="22"/>
      <c r="N19" s="22"/>
      <c r="O19" s="22"/>
      <c r="P19" s="22"/>
      <c r="Q19" s="22"/>
      <c r="R19" s="22"/>
      <c r="S19" s="22"/>
      <c r="T19" s="22"/>
      <c r="U19" s="18"/>
      <c r="V19" s="22"/>
      <c r="W19" s="22"/>
      <c r="X19" s="22"/>
      <c r="Y19" s="22"/>
      <c r="Z19" s="22"/>
      <c r="AA19" s="22"/>
      <c r="AB19" s="22"/>
      <c r="AC19" s="22"/>
      <c r="AD19" s="22"/>
      <c r="AE19" s="18"/>
    </row>
    <row r="20" spans="4:31" x14ac:dyDescent="0.2">
      <c r="D20" s="18"/>
      <c r="E20" s="18"/>
      <c r="F20" s="24"/>
      <c r="G20" s="25"/>
      <c r="H20" s="21"/>
      <c r="I20" s="22"/>
      <c r="J20" s="22"/>
      <c r="K20" s="22"/>
      <c r="L20" s="22"/>
      <c r="M20" s="22"/>
      <c r="N20" s="22"/>
      <c r="O20" s="22"/>
      <c r="P20" s="22"/>
      <c r="Q20" s="22"/>
      <c r="R20" s="22"/>
      <c r="S20" s="22"/>
      <c r="T20" s="22"/>
      <c r="U20" s="18"/>
      <c r="V20" s="22"/>
      <c r="W20" s="22"/>
      <c r="X20" s="22"/>
      <c r="Y20" s="22"/>
      <c r="Z20" s="22"/>
      <c r="AA20" s="22"/>
      <c r="AB20" s="22"/>
      <c r="AC20" s="22"/>
      <c r="AD20" s="22"/>
      <c r="AE20" s="18"/>
    </row>
    <row r="21" spans="4:31" x14ac:dyDescent="0.2">
      <c r="D21" s="18"/>
      <c r="E21" s="18"/>
      <c r="F21" s="24"/>
      <c r="G21" s="25"/>
      <c r="H21" s="21"/>
      <c r="I21" s="22"/>
      <c r="J21" s="22"/>
      <c r="K21" s="22"/>
      <c r="L21" s="22"/>
      <c r="M21" s="22"/>
      <c r="N21" s="22"/>
      <c r="O21" s="22"/>
      <c r="P21" s="22"/>
      <c r="Q21" s="22"/>
      <c r="R21" s="22"/>
      <c r="S21" s="22"/>
      <c r="T21" s="22"/>
      <c r="U21" s="18"/>
      <c r="V21" s="22"/>
      <c r="W21" s="22"/>
      <c r="X21" s="22"/>
      <c r="Y21" s="22"/>
      <c r="Z21" s="22"/>
      <c r="AA21" s="22"/>
      <c r="AB21" s="22"/>
      <c r="AC21" s="22"/>
      <c r="AD21" s="22"/>
      <c r="AE21" s="18"/>
    </row>
    <row r="22" spans="4:31" x14ac:dyDescent="0.2">
      <c r="D22" s="18"/>
      <c r="E22" s="18"/>
      <c r="F22" s="24"/>
      <c r="G22" s="25"/>
      <c r="H22" s="21"/>
      <c r="I22" s="22"/>
      <c r="J22" s="22"/>
      <c r="K22" s="22"/>
      <c r="L22" s="22"/>
      <c r="M22" s="22"/>
      <c r="N22" s="22"/>
      <c r="O22" s="22"/>
      <c r="P22" s="22"/>
      <c r="Q22" s="22"/>
      <c r="R22" s="22"/>
      <c r="S22" s="22"/>
      <c r="T22" s="22"/>
      <c r="U22" s="18"/>
      <c r="V22" s="22"/>
      <c r="W22" s="22"/>
      <c r="X22" s="22"/>
      <c r="Y22" s="22"/>
      <c r="Z22" s="22"/>
      <c r="AA22" s="22"/>
      <c r="AB22" s="22"/>
      <c r="AC22" s="22"/>
      <c r="AD22" s="22"/>
      <c r="AE22" s="18"/>
    </row>
    <row r="23" spans="4:31" x14ac:dyDescent="0.2">
      <c r="D23" s="18"/>
      <c r="E23" s="18"/>
      <c r="F23" s="24"/>
      <c r="G23" s="25"/>
      <c r="H23" s="21"/>
      <c r="I23" s="22"/>
      <c r="J23" s="22"/>
      <c r="K23" s="22"/>
      <c r="L23" s="22"/>
      <c r="M23" s="22"/>
      <c r="N23" s="22"/>
      <c r="O23" s="22"/>
      <c r="P23" s="22"/>
      <c r="Q23" s="22"/>
      <c r="R23" s="22"/>
      <c r="S23" s="22"/>
      <c r="T23" s="22"/>
      <c r="U23" s="18"/>
      <c r="V23" s="22"/>
      <c r="W23" s="22"/>
      <c r="X23" s="22"/>
      <c r="Y23" s="22"/>
      <c r="Z23" s="22"/>
      <c r="AA23" s="22"/>
      <c r="AB23" s="22"/>
      <c r="AC23" s="22"/>
      <c r="AD23" s="22"/>
      <c r="AE23" s="18"/>
    </row>
    <row r="24" spans="4:31" x14ac:dyDescent="0.2">
      <c r="D24" s="18"/>
      <c r="E24" s="18"/>
      <c r="F24" s="24"/>
      <c r="G24" s="25"/>
      <c r="H24" s="21"/>
      <c r="I24" s="22"/>
      <c r="J24" s="22"/>
      <c r="K24" s="22"/>
      <c r="L24" s="22"/>
      <c r="M24" s="22"/>
      <c r="N24" s="22"/>
      <c r="O24" s="22"/>
      <c r="P24" s="22"/>
      <c r="Q24" s="22"/>
      <c r="R24" s="22"/>
      <c r="S24" s="22"/>
      <c r="T24" s="22"/>
      <c r="U24" s="18"/>
      <c r="V24" s="22"/>
      <c r="W24" s="22"/>
      <c r="X24" s="22"/>
      <c r="Y24" s="22"/>
      <c r="Z24" s="22"/>
      <c r="AA24" s="22"/>
      <c r="AB24" s="22"/>
      <c r="AC24" s="22"/>
      <c r="AD24" s="22"/>
      <c r="AE24" s="18"/>
    </row>
    <row r="25" spans="4:31" x14ac:dyDescent="0.2">
      <c r="D25" s="18"/>
      <c r="E25" s="18"/>
      <c r="F25" s="24"/>
      <c r="G25" s="25"/>
      <c r="H25" s="21"/>
      <c r="I25" s="22"/>
      <c r="J25" s="22"/>
      <c r="K25" s="22"/>
      <c r="L25" s="22"/>
      <c r="M25" s="22"/>
      <c r="N25" s="22"/>
      <c r="O25" s="22"/>
      <c r="P25" s="22"/>
      <c r="Q25" s="22"/>
      <c r="R25" s="22"/>
      <c r="S25" s="22"/>
      <c r="T25" s="22"/>
      <c r="U25" s="18"/>
      <c r="V25" s="22"/>
      <c r="W25" s="22"/>
      <c r="X25" s="22"/>
      <c r="Y25" s="22"/>
      <c r="Z25" s="22"/>
      <c r="AA25" s="22"/>
      <c r="AB25" s="22"/>
      <c r="AC25" s="22"/>
      <c r="AD25" s="22"/>
      <c r="AE25" s="18"/>
    </row>
    <row r="26" spans="4:31" x14ac:dyDescent="0.2">
      <c r="D26" s="18"/>
      <c r="E26" s="18"/>
      <c r="F26" s="24"/>
      <c r="G26" s="25"/>
      <c r="H26" s="21"/>
      <c r="I26" s="22"/>
      <c r="J26" s="22"/>
      <c r="K26" s="22"/>
      <c r="L26" s="22"/>
      <c r="M26" s="22"/>
      <c r="N26" s="22"/>
      <c r="O26" s="22"/>
      <c r="P26" s="22"/>
      <c r="Q26" s="22"/>
      <c r="R26" s="22"/>
      <c r="S26" s="22"/>
      <c r="T26" s="22"/>
      <c r="U26" s="18"/>
      <c r="V26" s="22"/>
      <c r="W26" s="22"/>
      <c r="X26" s="22"/>
      <c r="Y26" s="22"/>
      <c r="Z26" s="22"/>
      <c r="AA26" s="22"/>
      <c r="AB26" s="22"/>
      <c r="AC26" s="22"/>
      <c r="AD26" s="22"/>
      <c r="AE26" s="18"/>
    </row>
    <row r="27" spans="4:31" x14ac:dyDescent="0.2">
      <c r="D27" s="18"/>
      <c r="E27" s="18"/>
      <c r="F27" s="24"/>
      <c r="G27" s="25"/>
      <c r="H27" s="21"/>
      <c r="I27" s="22"/>
      <c r="J27" s="22"/>
      <c r="K27" s="22"/>
      <c r="L27" s="22"/>
      <c r="M27" s="22"/>
      <c r="N27" s="22"/>
      <c r="O27" s="22"/>
      <c r="P27" s="22"/>
      <c r="Q27" s="22"/>
      <c r="R27" s="22"/>
      <c r="S27" s="22"/>
      <c r="T27" s="22"/>
      <c r="U27" s="18"/>
      <c r="V27" s="22"/>
      <c r="W27" s="22"/>
      <c r="X27" s="22"/>
      <c r="Y27" s="22"/>
      <c r="Z27" s="22"/>
      <c r="AA27" s="22"/>
      <c r="AB27" s="22"/>
      <c r="AC27" s="22"/>
      <c r="AD27" s="22"/>
      <c r="AE27" s="18"/>
    </row>
    <row r="28" spans="4:31" x14ac:dyDescent="0.2">
      <c r="D28" s="18"/>
      <c r="E28" s="18"/>
      <c r="F28" s="24"/>
      <c r="G28" s="25"/>
      <c r="H28" s="21"/>
      <c r="I28" s="22"/>
      <c r="J28" s="22"/>
      <c r="K28" s="22"/>
      <c r="L28" s="22"/>
      <c r="M28" s="22"/>
      <c r="N28" s="22"/>
      <c r="O28" s="22"/>
      <c r="P28" s="22"/>
      <c r="Q28" s="22"/>
      <c r="R28" s="22"/>
      <c r="S28" s="22"/>
      <c r="T28" s="22"/>
      <c r="U28" s="18"/>
      <c r="V28" s="22"/>
      <c r="W28" s="22"/>
      <c r="X28" s="22"/>
      <c r="Y28" s="22"/>
      <c r="Z28" s="22"/>
      <c r="AA28" s="22"/>
      <c r="AB28" s="22"/>
      <c r="AC28" s="22"/>
      <c r="AD28" s="22"/>
      <c r="AE28" s="18"/>
    </row>
    <row r="29" spans="4:31" x14ac:dyDescent="0.2">
      <c r="D29" s="18"/>
      <c r="E29" s="18"/>
      <c r="F29" s="24"/>
      <c r="G29" s="25"/>
      <c r="H29" s="21"/>
      <c r="I29" s="22"/>
      <c r="J29" s="22"/>
      <c r="K29" s="22"/>
      <c r="L29" s="22"/>
      <c r="M29" s="22"/>
      <c r="N29" s="22"/>
      <c r="O29" s="22"/>
      <c r="P29" s="22"/>
      <c r="Q29" s="22"/>
      <c r="R29" s="22"/>
      <c r="S29" s="22"/>
      <c r="T29" s="22"/>
      <c r="U29" s="18"/>
      <c r="V29" s="22"/>
      <c r="W29" s="22"/>
      <c r="X29" s="22"/>
      <c r="Y29" s="22"/>
      <c r="Z29" s="22"/>
      <c r="AA29" s="22"/>
      <c r="AB29" s="22"/>
      <c r="AC29" s="22"/>
      <c r="AD29" s="22"/>
      <c r="AE29" s="18"/>
    </row>
    <row r="30" spans="4:31" x14ac:dyDescent="0.2">
      <c r="D30" s="18"/>
      <c r="E30" s="18"/>
      <c r="F30" s="24"/>
      <c r="G30" s="25"/>
      <c r="H30" s="21"/>
      <c r="I30" s="22"/>
      <c r="J30" s="22"/>
      <c r="K30" s="22"/>
      <c r="L30" s="22"/>
      <c r="M30" s="22"/>
      <c r="N30" s="22"/>
      <c r="O30" s="22"/>
      <c r="P30" s="22"/>
      <c r="Q30" s="22"/>
      <c r="R30" s="22"/>
      <c r="S30" s="22"/>
      <c r="T30" s="22"/>
      <c r="U30" s="18"/>
      <c r="V30" s="22"/>
      <c r="W30" s="22"/>
      <c r="X30" s="22"/>
      <c r="Y30" s="22"/>
      <c r="Z30" s="22"/>
      <c r="AA30" s="22"/>
      <c r="AB30" s="22"/>
      <c r="AC30" s="22"/>
      <c r="AD30" s="22"/>
      <c r="AE30" s="18"/>
    </row>
    <row r="31" spans="4:31" x14ac:dyDescent="0.2">
      <c r="D31" s="18"/>
      <c r="E31" s="18"/>
      <c r="F31" s="24"/>
      <c r="G31" s="25"/>
      <c r="H31" s="21"/>
      <c r="I31" s="22"/>
      <c r="J31" s="22"/>
      <c r="K31" s="22"/>
      <c r="L31" s="22"/>
      <c r="M31" s="22"/>
      <c r="N31" s="22"/>
      <c r="O31" s="22"/>
      <c r="P31" s="22"/>
      <c r="Q31" s="22"/>
      <c r="R31" s="22"/>
      <c r="S31" s="22"/>
      <c r="T31" s="22"/>
      <c r="U31" s="18"/>
      <c r="V31" s="22"/>
      <c r="W31" s="22"/>
      <c r="X31" s="22"/>
      <c r="Y31" s="22"/>
      <c r="Z31" s="22"/>
      <c r="AA31" s="22"/>
      <c r="AB31" s="22"/>
      <c r="AC31" s="22"/>
      <c r="AD31" s="22"/>
      <c r="AE31" s="18"/>
    </row>
    <row r="32" spans="4:31" x14ac:dyDescent="0.2">
      <c r="D32" s="18"/>
      <c r="E32" s="18"/>
      <c r="F32" s="24"/>
      <c r="G32" s="25"/>
      <c r="H32" s="21"/>
      <c r="I32" s="22"/>
      <c r="J32" s="22"/>
      <c r="K32" s="22"/>
      <c r="L32" s="22"/>
      <c r="M32" s="22"/>
      <c r="N32" s="22"/>
      <c r="O32" s="22"/>
      <c r="P32" s="22"/>
      <c r="Q32" s="22"/>
      <c r="R32" s="22"/>
      <c r="S32" s="22"/>
      <c r="T32" s="22"/>
      <c r="U32" s="18"/>
      <c r="V32" s="22"/>
      <c r="W32" s="22"/>
      <c r="X32" s="22"/>
      <c r="Y32" s="22"/>
      <c r="Z32" s="22"/>
      <c r="AA32" s="22"/>
      <c r="AB32" s="22"/>
      <c r="AC32" s="22"/>
      <c r="AD32" s="22"/>
      <c r="AE32" s="18"/>
    </row>
    <row r="33" spans="4:31" x14ac:dyDescent="0.2">
      <c r="D33" s="18"/>
      <c r="E33" s="18"/>
      <c r="F33" s="24"/>
      <c r="G33" s="25"/>
      <c r="H33" s="21"/>
      <c r="I33" s="22"/>
      <c r="J33" s="22"/>
      <c r="K33" s="22"/>
      <c r="L33" s="22"/>
      <c r="M33" s="22"/>
      <c r="N33" s="22"/>
      <c r="O33" s="22"/>
      <c r="P33" s="22"/>
      <c r="Q33" s="22"/>
      <c r="R33" s="22"/>
      <c r="S33" s="22"/>
      <c r="T33" s="22"/>
      <c r="U33" s="18"/>
      <c r="V33" s="22"/>
      <c r="W33" s="22"/>
      <c r="X33" s="22"/>
      <c r="Y33" s="22"/>
      <c r="Z33" s="22"/>
      <c r="AA33" s="22"/>
      <c r="AB33" s="22"/>
      <c r="AC33" s="22"/>
      <c r="AD33" s="22"/>
      <c r="AE33" s="18"/>
    </row>
    <row r="34" spans="4:31" x14ac:dyDescent="0.2">
      <c r="D34" s="18"/>
      <c r="E34" s="18"/>
      <c r="F34" s="24"/>
      <c r="G34" s="25"/>
      <c r="H34" s="21"/>
      <c r="I34" s="22"/>
      <c r="J34" s="22"/>
      <c r="K34" s="22"/>
      <c r="L34" s="22"/>
      <c r="M34" s="22"/>
      <c r="N34" s="22"/>
      <c r="O34" s="22"/>
      <c r="P34" s="22"/>
      <c r="Q34" s="22"/>
      <c r="R34" s="22"/>
      <c r="S34" s="22"/>
      <c r="T34" s="22"/>
      <c r="U34" s="18"/>
      <c r="V34" s="22"/>
      <c r="W34" s="22"/>
      <c r="X34" s="22"/>
      <c r="Y34" s="22"/>
      <c r="Z34" s="22"/>
      <c r="AA34" s="22"/>
      <c r="AB34" s="22"/>
      <c r="AC34" s="22"/>
      <c r="AD34" s="22"/>
      <c r="AE34" s="18"/>
    </row>
    <row r="35" spans="4:31" x14ac:dyDescent="0.2">
      <c r="D35" s="18"/>
      <c r="E35" s="18"/>
      <c r="F35" s="24"/>
      <c r="G35" s="25"/>
      <c r="H35" s="21"/>
      <c r="I35" s="22"/>
      <c r="J35" s="22"/>
      <c r="K35" s="22"/>
      <c r="L35" s="22"/>
      <c r="M35" s="22"/>
      <c r="N35" s="22"/>
      <c r="O35" s="22"/>
      <c r="P35" s="22"/>
      <c r="Q35" s="22"/>
      <c r="R35" s="22"/>
      <c r="S35" s="22"/>
      <c r="T35" s="22"/>
      <c r="U35" s="18"/>
      <c r="V35" s="22"/>
      <c r="W35" s="22"/>
      <c r="X35" s="22"/>
      <c r="Y35" s="22"/>
      <c r="Z35" s="22"/>
      <c r="AA35" s="22"/>
      <c r="AB35" s="22"/>
      <c r="AC35" s="22"/>
      <c r="AD35" s="22"/>
      <c r="AE35" s="18"/>
    </row>
    <row r="36" spans="4:31" x14ac:dyDescent="0.2">
      <c r="D36" s="18"/>
      <c r="E36" s="18"/>
      <c r="F36" s="24"/>
      <c r="G36" s="25"/>
      <c r="H36" s="21"/>
      <c r="I36" s="22"/>
      <c r="J36" s="22"/>
      <c r="K36" s="22"/>
      <c r="L36" s="22"/>
      <c r="M36" s="22"/>
      <c r="N36" s="22"/>
      <c r="O36" s="22"/>
      <c r="P36" s="22"/>
      <c r="Q36" s="22"/>
      <c r="R36" s="22"/>
      <c r="S36" s="22"/>
      <c r="T36" s="22"/>
      <c r="U36" s="18"/>
      <c r="V36" s="22"/>
      <c r="W36" s="22"/>
      <c r="X36" s="22"/>
      <c r="Y36" s="22"/>
      <c r="Z36" s="22"/>
      <c r="AA36" s="22"/>
      <c r="AB36" s="22"/>
      <c r="AC36" s="22"/>
      <c r="AD36" s="22"/>
      <c r="AE36" s="18"/>
    </row>
    <row r="37" spans="4:31" x14ac:dyDescent="0.2">
      <c r="D37" s="18"/>
      <c r="E37" s="18"/>
      <c r="F37" s="24"/>
      <c r="G37" s="25"/>
      <c r="H37" s="21"/>
      <c r="I37" s="22"/>
      <c r="J37" s="22"/>
      <c r="K37" s="22"/>
      <c r="L37" s="22"/>
      <c r="M37" s="22"/>
      <c r="N37" s="22"/>
      <c r="O37" s="22"/>
      <c r="P37" s="22"/>
      <c r="Q37" s="22"/>
      <c r="R37" s="22"/>
      <c r="S37" s="22"/>
      <c r="T37" s="22"/>
      <c r="U37" s="18"/>
      <c r="V37" s="22"/>
      <c r="W37" s="22"/>
      <c r="X37" s="22"/>
      <c r="Y37" s="22"/>
      <c r="Z37" s="22"/>
      <c r="AA37" s="22"/>
      <c r="AB37" s="22"/>
      <c r="AC37" s="22"/>
      <c r="AD37" s="22"/>
      <c r="AE37" s="18"/>
    </row>
    <row r="38" spans="4:31" x14ac:dyDescent="0.2">
      <c r="D38" s="18"/>
      <c r="E38" s="18"/>
      <c r="F38" s="24"/>
      <c r="G38" s="25"/>
      <c r="H38" s="21"/>
      <c r="I38" s="22"/>
      <c r="J38" s="22"/>
      <c r="K38" s="22"/>
      <c r="L38" s="22"/>
      <c r="M38" s="22"/>
      <c r="N38" s="22"/>
      <c r="O38" s="22"/>
      <c r="P38" s="22"/>
      <c r="Q38" s="22"/>
      <c r="R38" s="22"/>
      <c r="S38" s="22"/>
      <c r="T38" s="22"/>
      <c r="U38" s="18"/>
      <c r="V38" s="22"/>
      <c r="W38" s="22"/>
      <c r="X38" s="22"/>
      <c r="Y38" s="22"/>
      <c r="Z38" s="22"/>
      <c r="AA38" s="22"/>
      <c r="AB38" s="22"/>
      <c r="AC38" s="22"/>
      <c r="AD38" s="22"/>
      <c r="AE38" s="18"/>
    </row>
    <row r="39" spans="4:31" x14ac:dyDescent="0.2">
      <c r="D39" s="18"/>
      <c r="E39" s="18"/>
      <c r="F39" s="24"/>
      <c r="G39" s="25"/>
      <c r="H39" s="21"/>
      <c r="I39" s="22"/>
      <c r="J39" s="22"/>
      <c r="K39" s="22"/>
      <c r="L39" s="22"/>
      <c r="M39" s="22"/>
      <c r="N39" s="22"/>
      <c r="O39" s="22"/>
      <c r="P39" s="22"/>
      <c r="Q39" s="22"/>
      <c r="R39" s="22"/>
      <c r="S39" s="22"/>
      <c r="T39" s="22"/>
      <c r="U39" s="18"/>
      <c r="V39" s="22"/>
      <c r="W39" s="22"/>
      <c r="X39" s="22"/>
      <c r="Y39" s="22"/>
      <c r="Z39" s="22"/>
      <c r="AA39" s="22"/>
      <c r="AB39" s="22"/>
      <c r="AC39" s="22"/>
      <c r="AD39" s="22"/>
      <c r="AE39" s="18"/>
    </row>
    <row r="40" spans="4:31" x14ac:dyDescent="0.2">
      <c r="D40" s="18"/>
      <c r="E40" s="18"/>
      <c r="F40" s="24"/>
      <c r="G40" s="25"/>
      <c r="H40" s="21"/>
      <c r="I40" s="22"/>
      <c r="J40" s="22"/>
      <c r="K40" s="22"/>
      <c r="L40" s="22"/>
      <c r="M40" s="22"/>
      <c r="N40" s="22"/>
      <c r="O40" s="22"/>
      <c r="P40" s="22"/>
      <c r="Q40" s="22"/>
      <c r="R40" s="22"/>
      <c r="S40" s="22"/>
      <c r="T40" s="22"/>
      <c r="U40" s="18"/>
      <c r="V40" s="22"/>
      <c r="W40" s="22"/>
      <c r="X40" s="22"/>
      <c r="Y40" s="22"/>
      <c r="Z40" s="22"/>
      <c r="AA40" s="22"/>
      <c r="AB40" s="22"/>
      <c r="AC40" s="22"/>
      <c r="AD40" s="22"/>
      <c r="AE40" s="18"/>
    </row>
    <row r="41" spans="4:31" x14ac:dyDescent="0.2">
      <c r="D41" s="18"/>
      <c r="E41" s="18"/>
      <c r="F41" s="24"/>
      <c r="G41" s="25"/>
      <c r="H41" s="21"/>
      <c r="I41" s="22"/>
      <c r="J41" s="22"/>
      <c r="K41" s="22"/>
      <c r="L41" s="22"/>
      <c r="M41" s="22"/>
      <c r="N41" s="22"/>
      <c r="O41" s="22"/>
      <c r="P41" s="22"/>
      <c r="Q41" s="22"/>
      <c r="R41" s="22"/>
      <c r="S41" s="22"/>
      <c r="T41" s="22"/>
      <c r="U41" s="18"/>
      <c r="V41" s="22"/>
      <c r="W41" s="22"/>
      <c r="X41" s="22"/>
      <c r="Y41" s="22"/>
      <c r="Z41" s="22"/>
      <c r="AA41" s="22"/>
      <c r="AB41" s="22"/>
      <c r="AC41" s="22"/>
      <c r="AD41" s="22"/>
      <c r="AE41" s="18"/>
    </row>
    <row r="42" spans="4:31" x14ac:dyDescent="0.2">
      <c r="D42" s="18"/>
      <c r="E42" s="18"/>
      <c r="F42" s="24"/>
      <c r="G42" s="25"/>
      <c r="H42" s="21"/>
      <c r="I42" s="22"/>
      <c r="J42" s="22"/>
      <c r="K42" s="22"/>
      <c r="L42" s="22"/>
      <c r="M42" s="22"/>
      <c r="N42" s="22"/>
      <c r="O42" s="22"/>
      <c r="P42" s="22"/>
      <c r="Q42" s="22"/>
      <c r="R42" s="22"/>
      <c r="S42" s="22"/>
      <c r="T42" s="22"/>
      <c r="U42" s="18"/>
      <c r="V42" s="22"/>
      <c r="W42" s="22"/>
      <c r="X42" s="22"/>
      <c r="Y42" s="22"/>
      <c r="Z42" s="22"/>
      <c r="AA42" s="22"/>
      <c r="AB42" s="22"/>
      <c r="AC42" s="22"/>
      <c r="AD42" s="22"/>
      <c r="AE42" s="18"/>
    </row>
    <row r="43" spans="4:31" x14ac:dyDescent="0.2">
      <c r="D43" s="18"/>
      <c r="E43" s="18"/>
      <c r="F43" s="24"/>
      <c r="G43" s="25"/>
      <c r="H43" s="21"/>
      <c r="I43" s="22"/>
      <c r="J43" s="22"/>
      <c r="K43" s="22"/>
      <c r="L43" s="22"/>
      <c r="M43" s="22"/>
      <c r="N43" s="22"/>
      <c r="O43" s="22"/>
      <c r="P43" s="22"/>
      <c r="Q43" s="22"/>
      <c r="R43" s="22"/>
      <c r="S43" s="22"/>
      <c r="T43" s="22"/>
      <c r="U43" s="18"/>
      <c r="V43" s="22"/>
      <c r="W43" s="22"/>
      <c r="X43" s="22"/>
      <c r="Y43" s="22"/>
      <c r="Z43" s="22"/>
      <c r="AA43" s="22"/>
      <c r="AB43" s="22"/>
      <c r="AC43" s="22"/>
      <c r="AD43" s="22"/>
      <c r="AE43" s="18"/>
    </row>
    <row r="44" spans="4:31" x14ac:dyDescent="0.2">
      <c r="D44" s="18"/>
      <c r="E44" s="18"/>
      <c r="F44" s="24"/>
      <c r="G44" s="25"/>
      <c r="H44" s="21"/>
      <c r="I44" s="22"/>
      <c r="J44" s="22"/>
      <c r="K44" s="22"/>
      <c r="L44" s="22"/>
      <c r="M44" s="22"/>
      <c r="N44" s="22"/>
      <c r="O44" s="22"/>
      <c r="P44" s="22"/>
      <c r="Q44" s="22"/>
      <c r="R44" s="22"/>
      <c r="S44" s="22"/>
      <c r="T44" s="22"/>
      <c r="U44" s="18"/>
      <c r="V44" s="22"/>
      <c r="W44" s="22"/>
      <c r="X44" s="22"/>
      <c r="Y44" s="22"/>
      <c r="Z44" s="22"/>
      <c r="AA44" s="22"/>
      <c r="AB44" s="22"/>
      <c r="AC44" s="22"/>
      <c r="AD44" s="22"/>
      <c r="AE44" s="18"/>
    </row>
    <row r="45" spans="4:31" x14ac:dyDescent="0.2">
      <c r="D45" s="18"/>
      <c r="E45" s="18"/>
      <c r="F45" s="24"/>
      <c r="G45" s="25"/>
      <c r="H45" s="21"/>
      <c r="I45" s="22"/>
      <c r="J45" s="22"/>
      <c r="K45" s="22"/>
      <c r="L45" s="22"/>
      <c r="M45" s="22"/>
      <c r="N45" s="22"/>
      <c r="O45" s="22"/>
      <c r="P45" s="22"/>
      <c r="Q45" s="22"/>
      <c r="R45" s="22"/>
      <c r="S45" s="22"/>
      <c r="T45" s="22"/>
      <c r="U45" s="18"/>
      <c r="V45" s="22"/>
      <c r="W45" s="22"/>
      <c r="X45" s="22"/>
      <c r="Y45" s="22"/>
      <c r="Z45" s="22"/>
      <c r="AA45" s="22"/>
      <c r="AB45" s="22"/>
      <c r="AC45" s="22"/>
      <c r="AD45" s="22"/>
      <c r="AE45" s="18"/>
    </row>
    <row r="46" spans="4:31" x14ac:dyDescent="0.2">
      <c r="D46" s="18"/>
      <c r="E46" s="18"/>
      <c r="F46" s="24"/>
      <c r="G46" s="25"/>
      <c r="H46" s="21"/>
      <c r="I46" s="22"/>
      <c r="J46" s="22"/>
      <c r="K46" s="22"/>
      <c r="L46" s="22"/>
      <c r="M46" s="22"/>
      <c r="N46" s="22"/>
      <c r="O46" s="22"/>
      <c r="P46" s="22"/>
      <c r="Q46" s="22"/>
      <c r="R46" s="22"/>
      <c r="S46" s="22"/>
      <c r="T46" s="22"/>
      <c r="U46" s="18"/>
      <c r="V46" s="22"/>
      <c r="W46" s="22"/>
      <c r="X46" s="22"/>
      <c r="Y46" s="22"/>
      <c r="Z46" s="22"/>
      <c r="AA46" s="22"/>
      <c r="AB46" s="22"/>
      <c r="AC46" s="22"/>
      <c r="AD46" s="22"/>
      <c r="AE46" s="18"/>
    </row>
    <row r="47" spans="4:31" x14ac:dyDescent="0.2">
      <c r="D47" s="18"/>
      <c r="E47" s="18"/>
      <c r="F47" s="24"/>
      <c r="G47" s="25"/>
      <c r="H47" s="21"/>
      <c r="I47" s="22"/>
      <c r="J47" s="22"/>
      <c r="K47" s="22"/>
      <c r="L47" s="22"/>
      <c r="M47" s="22"/>
      <c r="N47" s="22"/>
      <c r="O47" s="22"/>
      <c r="P47" s="22"/>
      <c r="Q47" s="22"/>
      <c r="R47" s="22"/>
      <c r="S47" s="22"/>
      <c r="T47" s="22"/>
      <c r="U47" s="18"/>
      <c r="V47" s="22"/>
      <c r="W47" s="22"/>
      <c r="X47" s="22"/>
      <c r="Y47" s="22"/>
      <c r="Z47" s="22"/>
      <c r="AA47" s="22"/>
      <c r="AB47" s="22"/>
      <c r="AC47" s="22"/>
      <c r="AD47" s="22"/>
      <c r="AE47" s="18"/>
    </row>
    <row r="48" spans="4:31" x14ac:dyDescent="0.2">
      <c r="D48" s="18"/>
      <c r="E48" s="18"/>
      <c r="F48" s="24"/>
      <c r="G48" s="25"/>
      <c r="H48" s="21"/>
      <c r="I48" s="22"/>
      <c r="J48" s="22"/>
      <c r="K48" s="22"/>
      <c r="L48" s="22"/>
      <c r="M48" s="22"/>
      <c r="N48" s="22"/>
      <c r="O48" s="22"/>
      <c r="P48" s="22"/>
      <c r="Q48" s="22"/>
      <c r="R48" s="22"/>
      <c r="S48" s="22"/>
      <c r="T48" s="22"/>
      <c r="U48" s="18"/>
      <c r="V48" s="22"/>
      <c r="W48" s="22"/>
      <c r="X48" s="22"/>
      <c r="Y48" s="22"/>
      <c r="Z48" s="22"/>
      <c r="AA48" s="22"/>
      <c r="AB48" s="22"/>
      <c r="AC48" s="22"/>
      <c r="AD48" s="22"/>
      <c r="AE48" s="18"/>
    </row>
    <row r="49" spans="4:31" x14ac:dyDescent="0.2">
      <c r="D49" s="18"/>
      <c r="E49" s="18"/>
      <c r="F49" s="24"/>
      <c r="G49" s="25"/>
      <c r="H49" s="21"/>
      <c r="I49" s="22"/>
      <c r="J49" s="22"/>
      <c r="K49" s="22"/>
      <c r="L49" s="22"/>
      <c r="M49" s="22"/>
      <c r="N49" s="22"/>
      <c r="O49" s="22"/>
      <c r="P49" s="22"/>
      <c r="Q49" s="22"/>
      <c r="R49" s="22"/>
      <c r="S49" s="22"/>
      <c r="T49" s="22"/>
      <c r="U49" s="18"/>
      <c r="V49" s="22"/>
      <c r="W49" s="22"/>
      <c r="X49" s="22"/>
      <c r="Y49" s="22"/>
      <c r="Z49" s="22"/>
      <c r="AA49" s="22"/>
      <c r="AB49" s="22"/>
      <c r="AC49" s="22"/>
      <c r="AD49" s="22"/>
      <c r="AE49" s="18"/>
    </row>
    <row r="50" spans="4:31" x14ac:dyDescent="0.2">
      <c r="D50" s="18"/>
      <c r="E50" s="18"/>
      <c r="F50" s="24"/>
      <c r="G50" s="25"/>
      <c r="H50" s="21"/>
      <c r="I50" s="22"/>
      <c r="J50" s="22"/>
      <c r="K50" s="22"/>
      <c r="L50" s="22"/>
      <c r="M50" s="22"/>
      <c r="N50" s="22"/>
      <c r="O50" s="22"/>
      <c r="P50" s="22"/>
      <c r="Q50" s="22"/>
      <c r="R50" s="22"/>
      <c r="S50" s="22"/>
      <c r="T50" s="22"/>
      <c r="U50" s="18"/>
      <c r="V50" s="22"/>
      <c r="W50" s="22"/>
      <c r="X50" s="22"/>
      <c r="Y50" s="22"/>
      <c r="Z50" s="22"/>
      <c r="AA50" s="22"/>
      <c r="AB50" s="22"/>
      <c r="AC50" s="22"/>
      <c r="AD50" s="22"/>
      <c r="AE50" s="18"/>
    </row>
    <row r="51" spans="4:31" x14ac:dyDescent="0.2">
      <c r="D51" s="18"/>
      <c r="E51" s="18"/>
      <c r="F51" s="24"/>
      <c r="G51" s="25"/>
      <c r="H51" s="21"/>
      <c r="I51" s="22"/>
      <c r="J51" s="22"/>
      <c r="K51" s="22"/>
      <c r="L51" s="22"/>
      <c r="M51" s="22"/>
      <c r="N51" s="22"/>
      <c r="O51" s="22"/>
      <c r="P51" s="22"/>
      <c r="Q51" s="22"/>
      <c r="R51" s="22"/>
      <c r="S51" s="22"/>
      <c r="T51" s="22"/>
      <c r="U51" s="18"/>
      <c r="V51" s="22"/>
      <c r="W51" s="22"/>
      <c r="X51" s="22"/>
      <c r="Y51" s="22"/>
      <c r="Z51" s="22"/>
      <c r="AA51" s="22"/>
      <c r="AB51" s="22"/>
      <c r="AC51" s="22"/>
      <c r="AD51" s="22"/>
      <c r="AE51" s="18"/>
    </row>
    <row r="52" spans="4:31" x14ac:dyDescent="0.2">
      <c r="D52" s="18"/>
      <c r="E52" s="18"/>
      <c r="F52" s="24"/>
      <c r="G52" s="25"/>
      <c r="H52" s="21"/>
      <c r="I52" s="22"/>
      <c r="J52" s="22"/>
      <c r="K52" s="22"/>
      <c r="L52" s="22"/>
      <c r="M52" s="22"/>
      <c r="N52" s="22"/>
      <c r="O52" s="22"/>
      <c r="P52" s="22"/>
      <c r="Q52" s="22"/>
      <c r="R52" s="22"/>
      <c r="S52" s="22"/>
      <c r="T52" s="22"/>
      <c r="U52" s="18"/>
      <c r="V52" s="22"/>
      <c r="W52" s="22"/>
      <c r="X52" s="22"/>
      <c r="Y52" s="22"/>
      <c r="Z52" s="22"/>
      <c r="AA52" s="22"/>
      <c r="AB52" s="22"/>
      <c r="AC52" s="22"/>
      <c r="AD52" s="22"/>
      <c r="AE52" s="18"/>
    </row>
    <row r="53" spans="4:31" x14ac:dyDescent="0.2">
      <c r="D53" s="18"/>
      <c r="E53" s="18"/>
      <c r="F53" s="24"/>
      <c r="G53" s="25"/>
      <c r="H53" s="21"/>
      <c r="I53" s="22"/>
      <c r="J53" s="22"/>
      <c r="K53" s="22"/>
      <c r="L53" s="22"/>
      <c r="M53" s="22"/>
      <c r="N53" s="22"/>
      <c r="O53" s="22"/>
      <c r="P53" s="22"/>
      <c r="Q53" s="22"/>
      <c r="R53" s="22"/>
      <c r="S53" s="22"/>
      <c r="T53" s="22"/>
      <c r="U53" s="18"/>
      <c r="V53" s="22"/>
      <c r="W53" s="22"/>
      <c r="X53" s="22"/>
      <c r="Y53" s="22"/>
      <c r="Z53" s="22"/>
      <c r="AA53" s="22"/>
      <c r="AB53" s="22"/>
      <c r="AC53" s="22"/>
      <c r="AD53" s="22"/>
      <c r="AE53" s="18"/>
    </row>
    <row r="54" spans="4:31" x14ac:dyDescent="0.2">
      <c r="D54" s="18"/>
      <c r="E54" s="18"/>
      <c r="F54" s="24"/>
      <c r="G54" s="25"/>
      <c r="H54" s="21"/>
      <c r="I54" s="22"/>
      <c r="J54" s="22"/>
      <c r="K54" s="22"/>
      <c r="L54" s="22"/>
      <c r="M54" s="22"/>
      <c r="N54" s="22"/>
      <c r="O54" s="22"/>
      <c r="P54" s="22"/>
      <c r="Q54" s="22"/>
      <c r="R54" s="22"/>
      <c r="S54" s="22"/>
      <c r="T54" s="22"/>
      <c r="U54" s="18"/>
      <c r="V54" s="22"/>
      <c r="W54" s="22"/>
      <c r="X54" s="22"/>
      <c r="Y54" s="22"/>
      <c r="Z54" s="22"/>
      <c r="AA54" s="22"/>
      <c r="AB54" s="22"/>
      <c r="AC54" s="22"/>
      <c r="AD54" s="22"/>
      <c r="AE54" s="18"/>
    </row>
    <row r="55" spans="4:31" x14ac:dyDescent="0.2">
      <c r="D55" s="18"/>
      <c r="E55" s="18"/>
      <c r="F55" s="24"/>
      <c r="G55" s="25"/>
      <c r="H55" s="21"/>
      <c r="I55" s="22"/>
      <c r="J55" s="22"/>
      <c r="K55" s="22"/>
      <c r="L55" s="22"/>
      <c r="M55" s="22"/>
      <c r="N55" s="22"/>
      <c r="O55" s="22"/>
      <c r="P55" s="22"/>
      <c r="Q55" s="22"/>
      <c r="R55" s="22"/>
      <c r="S55" s="22"/>
      <c r="T55" s="22"/>
      <c r="U55" s="18"/>
      <c r="V55" s="22"/>
      <c r="W55" s="22"/>
      <c r="X55" s="22"/>
      <c r="Y55" s="22"/>
      <c r="Z55" s="22"/>
      <c r="AA55" s="22"/>
      <c r="AB55" s="22"/>
      <c r="AC55" s="22"/>
      <c r="AD55" s="22"/>
      <c r="AE55" s="18"/>
    </row>
    <row r="56" spans="4:31" x14ac:dyDescent="0.2">
      <c r="D56" s="18"/>
      <c r="E56" s="18"/>
      <c r="F56" s="24"/>
      <c r="G56" s="25"/>
      <c r="H56" s="21"/>
      <c r="I56" s="22"/>
      <c r="J56" s="22"/>
      <c r="K56" s="22"/>
      <c r="L56" s="22"/>
      <c r="M56" s="22"/>
      <c r="N56" s="22"/>
      <c r="O56" s="22"/>
      <c r="P56" s="22"/>
      <c r="Q56" s="22"/>
      <c r="R56" s="22"/>
      <c r="S56" s="22"/>
      <c r="T56" s="22"/>
      <c r="U56" s="18"/>
      <c r="V56" s="22"/>
      <c r="W56" s="22"/>
      <c r="X56" s="22"/>
      <c r="Y56" s="22"/>
      <c r="Z56" s="22"/>
      <c r="AA56" s="22"/>
      <c r="AB56" s="22"/>
      <c r="AC56" s="22"/>
      <c r="AD56" s="22"/>
      <c r="AE56" s="18"/>
    </row>
    <row r="57" spans="4:31" x14ac:dyDescent="0.2">
      <c r="D57" s="18"/>
      <c r="E57" s="18"/>
      <c r="F57" s="24"/>
      <c r="G57" s="25"/>
      <c r="H57" s="21"/>
      <c r="I57" s="22"/>
      <c r="J57" s="22"/>
      <c r="K57" s="22"/>
      <c r="L57" s="22"/>
      <c r="M57" s="22"/>
      <c r="N57" s="22"/>
      <c r="O57" s="22"/>
      <c r="P57" s="22"/>
      <c r="Q57" s="22"/>
      <c r="R57" s="22"/>
      <c r="S57" s="22"/>
      <c r="T57" s="22"/>
      <c r="U57" s="18"/>
      <c r="V57" s="22"/>
      <c r="W57" s="22"/>
      <c r="X57" s="22"/>
      <c r="Y57" s="22"/>
      <c r="Z57" s="22"/>
      <c r="AA57" s="22"/>
      <c r="AB57" s="22"/>
      <c r="AC57" s="22"/>
      <c r="AD57" s="22"/>
      <c r="AE57" s="18"/>
    </row>
    <row r="58" spans="4:31" x14ac:dyDescent="0.2">
      <c r="D58" s="18"/>
      <c r="E58" s="18"/>
      <c r="F58" s="24"/>
      <c r="G58" s="25"/>
      <c r="H58" s="21"/>
      <c r="I58" s="22"/>
      <c r="J58" s="22"/>
      <c r="K58" s="22"/>
      <c r="L58" s="22"/>
      <c r="M58" s="22"/>
      <c r="N58" s="22"/>
      <c r="O58" s="22"/>
      <c r="P58" s="22"/>
      <c r="Q58" s="22"/>
      <c r="R58" s="22"/>
      <c r="S58" s="22"/>
      <c r="T58" s="22"/>
      <c r="U58" s="18"/>
      <c r="V58" s="22"/>
      <c r="W58" s="22"/>
      <c r="X58" s="22"/>
      <c r="Y58" s="22"/>
      <c r="Z58" s="22"/>
      <c r="AA58" s="22"/>
      <c r="AB58" s="22"/>
      <c r="AC58" s="22"/>
      <c r="AD58" s="22"/>
      <c r="AE58" s="18"/>
    </row>
    <row r="59" spans="4:31" x14ac:dyDescent="0.2">
      <c r="D59" s="18"/>
      <c r="E59" s="18"/>
      <c r="F59" s="24"/>
      <c r="G59" s="25"/>
      <c r="H59" s="21"/>
      <c r="I59" s="22"/>
      <c r="J59" s="22"/>
      <c r="K59" s="22"/>
      <c r="L59" s="22"/>
      <c r="M59" s="22"/>
      <c r="N59" s="22"/>
      <c r="O59" s="22"/>
      <c r="P59" s="22"/>
      <c r="Q59" s="22"/>
      <c r="R59" s="22"/>
      <c r="S59" s="22"/>
      <c r="T59" s="22"/>
      <c r="U59" s="18"/>
      <c r="V59" s="22"/>
      <c r="W59" s="22"/>
      <c r="X59" s="22"/>
      <c r="Y59" s="22"/>
      <c r="Z59" s="22"/>
      <c r="AA59" s="22"/>
      <c r="AB59" s="22"/>
      <c r="AC59" s="22"/>
      <c r="AD59" s="22"/>
      <c r="AE59" s="18"/>
    </row>
    <row r="60" spans="4:31" x14ac:dyDescent="0.2">
      <c r="D60" s="18"/>
      <c r="E60" s="18"/>
      <c r="F60" s="24"/>
      <c r="G60" s="25"/>
      <c r="H60" s="21"/>
      <c r="I60" s="22"/>
      <c r="J60" s="22"/>
      <c r="K60" s="22"/>
      <c r="L60" s="22"/>
      <c r="M60" s="22"/>
      <c r="N60" s="22"/>
      <c r="O60" s="22"/>
      <c r="P60" s="22"/>
      <c r="Q60" s="22"/>
      <c r="R60" s="22"/>
      <c r="S60" s="22"/>
      <c r="T60" s="22"/>
      <c r="U60" s="18"/>
      <c r="V60" s="22"/>
      <c r="W60" s="22"/>
      <c r="X60" s="22"/>
      <c r="Y60" s="22"/>
      <c r="Z60" s="22"/>
      <c r="AA60" s="22"/>
      <c r="AB60" s="22"/>
      <c r="AC60" s="22"/>
      <c r="AD60" s="22"/>
      <c r="AE60" s="18"/>
    </row>
    <row r="61" spans="4:31" x14ac:dyDescent="0.2">
      <c r="D61" s="18"/>
      <c r="E61" s="18"/>
      <c r="F61" s="24"/>
      <c r="G61" s="25"/>
      <c r="H61" s="21"/>
      <c r="I61" s="22"/>
      <c r="J61" s="22"/>
      <c r="K61" s="22"/>
      <c r="L61" s="22"/>
      <c r="M61" s="22"/>
      <c r="N61" s="22"/>
      <c r="O61" s="22"/>
      <c r="P61" s="22"/>
      <c r="Q61" s="22"/>
      <c r="R61" s="22"/>
      <c r="S61" s="22"/>
      <c r="T61" s="22"/>
      <c r="U61" s="18"/>
      <c r="V61" s="22"/>
      <c r="W61" s="22"/>
      <c r="X61" s="22"/>
      <c r="Y61" s="22"/>
      <c r="Z61" s="22"/>
      <c r="AA61" s="22"/>
      <c r="AB61" s="22"/>
      <c r="AC61" s="22"/>
      <c r="AD61" s="22"/>
      <c r="AE61" s="18"/>
    </row>
    <row r="62" spans="4:31" x14ac:dyDescent="0.2">
      <c r="D62" s="18"/>
      <c r="E62" s="18"/>
      <c r="F62" s="24"/>
      <c r="G62" s="25"/>
      <c r="H62" s="21"/>
      <c r="I62" s="22"/>
      <c r="J62" s="22"/>
      <c r="K62" s="22"/>
      <c r="L62" s="22"/>
      <c r="M62" s="22"/>
      <c r="N62" s="22"/>
      <c r="O62" s="22"/>
      <c r="P62" s="22"/>
      <c r="Q62" s="22"/>
      <c r="R62" s="22"/>
      <c r="S62" s="22"/>
      <c r="T62" s="22"/>
      <c r="U62" s="18"/>
      <c r="V62" s="22"/>
      <c r="W62" s="22"/>
      <c r="X62" s="22"/>
      <c r="Y62" s="22"/>
      <c r="Z62" s="22"/>
      <c r="AA62" s="22"/>
      <c r="AB62" s="22"/>
      <c r="AC62" s="22"/>
      <c r="AD62" s="22"/>
      <c r="AE62" s="18"/>
    </row>
    <row r="63" spans="4:31" x14ac:dyDescent="0.2">
      <c r="D63" s="18"/>
      <c r="E63" s="18"/>
      <c r="F63" s="24"/>
      <c r="G63" s="25"/>
      <c r="H63" s="21"/>
      <c r="I63" s="22"/>
      <c r="J63" s="22"/>
      <c r="K63" s="22"/>
      <c r="L63" s="22"/>
      <c r="M63" s="22"/>
      <c r="N63" s="22"/>
      <c r="O63" s="22"/>
      <c r="P63" s="22"/>
      <c r="Q63" s="22"/>
      <c r="R63" s="22"/>
      <c r="S63" s="22"/>
      <c r="T63" s="22"/>
      <c r="U63" s="18"/>
      <c r="V63" s="22"/>
      <c r="W63" s="22"/>
      <c r="X63" s="22"/>
      <c r="Y63" s="22"/>
      <c r="Z63" s="22"/>
      <c r="AA63" s="22"/>
      <c r="AB63" s="22"/>
      <c r="AC63" s="22"/>
      <c r="AD63" s="22"/>
      <c r="AE63" s="18"/>
    </row>
    <row r="64" spans="4:31" x14ac:dyDescent="0.2">
      <c r="D64" s="18"/>
      <c r="E64" s="18"/>
      <c r="F64" s="24"/>
      <c r="G64" s="25"/>
      <c r="H64" s="21"/>
      <c r="I64" s="22"/>
      <c r="J64" s="22"/>
      <c r="K64" s="22"/>
      <c r="L64" s="22"/>
      <c r="M64" s="22"/>
      <c r="N64" s="22"/>
      <c r="O64" s="22"/>
      <c r="P64" s="22"/>
      <c r="Q64" s="22"/>
      <c r="R64" s="22"/>
      <c r="S64" s="22"/>
      <c r="T64" s="22"/>
      <c r="U64" s="18"/>
      <c r="V64" s="22"/>
      <c r="W64" s="22"/>
      <c r="X64" s="22"/>
      <c r="Y64" s="22"/>
      <c r="Z64" s="22"/>
      <c r="AA64" s="22"/>
      <c r="AB64" s="22"/>
      <c r="AC64" s="22"/>
      <c r="AD64" s="22"/>
      <c r="AE64" s="18"/>
    </row>
    <row r="65" spans="4:31" x14ac:dyDescent="0.2">
      <c r="D65" s="18"/>
      <c r="E65" s="18"/>
      <c r="F65" s="24"/>
      <c r="G65" s="25"/>
      <c r="H65" s="21"/>
      <c r="I65" s="22"/>
      <c r="J65" s="22"/>
      <c r="K65" s="22"/>
      <c r="L65" s="22"/>
      <c r="M65" s="22"/>
      <c r="N65" s="22"/>
      <c r="O65" s="22"/>
      <c r="P65" s="22"/>
      <c r="Q65" s="22"/>
      <c r="R65" s="22"/>
      <c r="S65" s="22"/>
      <c r="T65" s="22"/>
      <c r="U65" s="18"/>
      <c r="V65" s="22"/>
      <c r="W65" s="22"/>
      <c r="X65" s="22"/>
      <c r="Y65" s="22"/>
      <c r="Z65" s="22"/>
      <c r="AA65" s="22"/>
      <c r="AB65" s="22"/>
      <c r="AC65" s="22"/>
      <c r="AD65" s="22"/>
      <c r="AE65" s="18"/>
    </row>
    <row r="66" spans="4:31" x14ac:dyDescent="0.2">
      <c r="D66" s="18"/>
      <c r="E66" s="18"/>
      <c r="F66" s="24"/>
      <c r="G66" s="25"/>
      <c r="H66" s="21"/>
      <c r="I66" s="22"/>
      <c r="J66" s="22"/>
      <c r="K66" s="22"/>
      <c r="L66" s="22"/>
      <c r="M66" s="22"/>
      <c r="N66" s="22"/>
      <c r="O66" s="22"/>
      <c r="P66" s="22"/>
      <c r="Q66" s="22"/>
      <c r="R66" s="22"/>
      <c r="S66" s="22"/>
      <c r="T66" s="22"/>
      <c r="U66" s="18"/>
      <c r="V66" s="22"/>
      <c r="W66" s="22"/>
      <c r="X66" s="22"/>
      <c r="Y66" s="22"/>
      <c r="Z66" s="22"/>
      <c r="AA66" s="22"/>
      <c r="AB66" s="22"/>
      <c r="AC66" s="22"/>
      <c r="AD66" s="22"/>
      <c r="AE66" s="18"/>
    </row>
    <row r="67" spans="4:31" x14ac:dyDescent="0.2">
      <c r="D67" s="18"/>
      <c r="E67" s="18"/>
      <c r="F67" s="24"/>
      <c r="G67" s="25"/>
      <c r="H67" s="21"/>
      <c r="I67" s="22"/>
      <c r="J67" s="22"/>
      <c r="K67" s="22"/>
      <c r="L67" s="22"/>
      <c r="M67" s="22"/>
      <c r="N67" s="22"/>
      <c r="O67" s="22"/>
      <c r="P67" s="22"/>
      <c r="Q67" s="22"/>
      <c r="R67" s="22"/>
      <c r="S67" s="22"/>
      <c r="T67" s="22"/>
      <c r="U67" s="18"/>
      <c r="V67" s="22"/>
      <c r="W67" s="22"/>
      <c r="X67" s="22"/>
      <c r="Y67" s="22"/>
      <c r="Z67" s="22"/>
      <c r="AA67" s="22"/>
      <c r="AB67" s="22"/>
      <c r="AC67" s="22"/>
      <c r="AD67" s="22"/>
      <c r="AE67" s="18"/>
    </row>
    <row r="68" spans="4:31" x14ac:dyDescent="0.2">
      <c r="D68" s="18"/>
      <c r="E68" s="18"/>
      <c r="F68" s="24"/>
      <c r="G68" s="25"/>
      <c r="H68" s="21"/>
      <c r="I68" s="22"/>
      <c r="J68" s="22"/>
      <c r="K68" s="22"/>
      <c r="L68" s="22"/>
      <c r="M68" s="22"/>
      <c r="N68" s="22"/>
      <c r="O68" s="22"/>
      <c r="P68" s="22"/>
      <c r="Q68" s="22"/>
      <c r="R68" s="22"/>
      <c r="S68" s="22"/>
      <c r="T68" s="22"/>
      <c r="U68" s="18"/>
      <c r="V68" s="22"/>
      <c r="W68" s="22"/>
      <c r="X68" s="22"/>
      <c r="Y68" s="22"/>
      <c r="Z68" s="22"/>
      <c r="AA68" s="22"/>
      <c r="AB68" s="22"/>
      <c r="AC68" s="22"/>
      <c r="AD68" s="22"/>
      <c r="AE68" s="18"/>
    </row>
    <row r="69" spans="4:31" x14ac:dyDescent="0.2">
      <c r="D69" s="18"/>
      <c r="E69" s="18"/>
      <c r="F69" s="24"/>
      <c r="G69" s="25"/>
      <c r="H69" s="21"/>
      <c r="I69" s="22"/>
      <c r="J69" s="22"/>
      <c r="K69" s="22"/>
      <c r="L69" s="22"/>
      <c r="M69" s="22"/>
      <c r="N69" s="22"/>
      <c r="O69" s="22"/>
      <c r="P69" s="22"/>
      <c r="Q69" s="22"/>
      <c r="R69" s="22"/>
      <c r="S69" s="22"/>
      <c r="T69" s="22"/>
      <c r="U69" s="18"/>
      <c r="V69" s="22"/>
      <c r="W69" s="22"/>
      <c r="X69" s="22"/>
      <c r="Y69" s="22"/>
      <c r="Z69" s="22"/>
      <c r="AA69" s="22"/>
      <c r="AB69" s="22"/>
      <c r="AC69" s="22"/>
      <c r="AD69" s="22"/>
      <c r="AE69" s="18"/>
    </row>
    <row r="70" spans="4:31" x14ac:dyDescent="0.2">
      <c r="D70" s="18"/>
      <c r="E70" s="18"/>
      <c r="F70" s="24"/>
      <c r="G70" s="25"/>
      <c r="H70" s="21"/>
      <c r="I70" s="22"/>
      <c r="J70" s="22"/>
      <c r="K70" s="22"/>
      <c r="L70" s="22"/>
      <c r="M70" s="22"/>
      <c r="N70" s="22"/>
      <c r="O70" s="22"/>
      <c r="P70" s="22"/>
      <c r="Q70" s="22"/>
      <c r="R70" s="22"/>
      <c r="S70" s="22"/>
      <c r="T70" s="22"/>
      <c r="U70" s="18"/>
      <c r="V70" s="22"/>
      <c r="W70" s="22"/>
      <c r="X70" s="22"/>
      <c r="Y70" s="22"/>
      <c r="Z70" s="22"/>
      <c r="AA70" s="22"/>
      <c r="AB70" s="22"/>
      <c r="AC70" s="22"/>
      <c r="AD70" s="22"/>
      <c r="AE70" s="18"/>
    </row>
    <row r="71" spans="4:31" x14ac:dyDescent="0.2">
      <c r="D71" s="18"/>
      <c r="E71" s="18"/>
      <c r="F71" s="24"/>
      <c r="G71" s="25"/>
      <c r="H71" s="21"/>
      <c r="I71" s="22"/>
      <c r="J71" s="22"/>
      <c r="K71" s="22"/>
      <c r="L71" s="22"/>
      <c r="M71" s="22"/>
      <c r="N71" s="22"/>
      <c r="O71" s="22"/>
      <c r="P71" s="22"/>
      <c r="Q71" s="22"/>
      <c r="R71" s="22"/>
      <c r="S71" s="22"/>
      <c r="T71" s="22"/>
      <c r="U71" s="18"/>
      <c r="V71" s="22"/>
      <c r="W71" s="22"/>
      <c r="X71" s="22"/>
      <c r="Y71" s="22"/>
      <c r="Z71" s="22"/>
      <c r="AA71" s="22"/>
      <c r="AB71" s="22"/>
      <c r="AC71" s="22"/>
      <c r="AD71" s="22"/>
      <c r="AE71" s="18"/>
    </row>
    <row r="72" spans="4:31" x14ac:dyDescent="0.2">
      <c r="D72" s="18"/>
      <c r="E72" s="18"/>
      <c r="F72" s="24"/>
      <c r="G72" s="25"/>
      <c r="H72" s="21"/>
      <c r="I72" s="22"/>
      <c r="J72" s="22"/>
      <c r="K72" s="22"/>
      <c r="L72" s="22"/>
      <c r="M72" s="22"/>
      <c r="N72" s="22"/>
      <c r="O72" s="22"/>
      <c r="P72" s="22"/>
      <c r="Q72" s="22"/>
      <c r="R72" s="22"/>
      <c r="S72" s="22"/>
      <c r="T72" s="22"/>
      <c r="U72" s="18"/>
      <c r="V72" s="22"/>
      <c r="W72" s="22"/>
      <c r="X72" s="22"/>
      <c r="Y72" s="22"/>
      <c r="Z72" s="22"/>
      <c r="AA72" s="22"/>
      <c r="AB72" s="22"/>
      <c r="AC72" s="22"/>
      <c r="AD72" s="22"/>
      <c r="AE72" s="18"/>
    </row>
    <row r="73" spans="4:31" x14ac:dyDescent="0.2">
      <c r="D73" s="18"/>
      <c r="E73" s="18"/>
      <c r="F73" s="24"/>
      <c r="G73" s="25"/>
      <c r="H73" s="21"/>
      <c r="I73" s="22"/>
      <c r="J73" s="22"/>
      <c r="K73" s="22"/>
      <c r="L73" s="22"/>
      <c r="M73" s="22"/>
      <c r="N73" s="22"/>
      <c r="O73" s="22"/>
      <c r="P73" s="22"/>
      <c r="Q73" s="22"/>
      <c r="R73" s="22"/>
      <c r="S73" s="22"/>
      <c r="T73" s="22"/>
      <c r="U73" s="18"/>
      <c r="V73" s="22"/>
      <c r="W73" s="22"/>
      <c r="X73" s="22"/>
      <c r="Y73" s="22"/>
      <c r="Z73" s="22"/>
      <c r="AA73" s="22"/>
      <c r="AB73" s="22"/>
      <c r="AC73" s="22"/>
      <c r="AD73" s="22"/>
      <c r="AE73" s="18"/>
    </row>
    <row r="74" spans="4:31" x14ac:dyDescent="0.2">
      <c r="D74" s="18"/>
      <c r="E74" s="18"/>
      <c r="F74" s="24"/>
      <c r="G74" s="25"/>
      <c r="H74" s="21"/>
      <c r="I74" s="22"/>
      <c r="J74" s="22"/>
      <c r="K74" s="22"/>
      <c r="L74" s="22"/>
      <c r="M74" s="22"/>
      <c r="N74" s="22"/>
      <c r="O74" s="22"/>
      <c r="P74" s="22"/>
      <c r="Q74" s="22"/>
      <c r="R74" s="22"/>
      <c r="S74" s="22"/>
      <c r="T74" s="22"/>
      <c r="U74" s="18"/>
      <c r="V74" s="22"/>
      <c r="W74" s="22"/>
      <c r="X74" s="22"/>
      <c r="Y74" s="22"/>
      <c r="Z74" s="22"/>
      <c r="AA74" s="22"/>
      <c r="AB74" s="22"/>
      <c r="AC74" s="22"/>
      <c r="AD74" s="22"/>
      <c r="AE74" s="18"/>
    </row>
    <row r="75" spans="4:31" x14ac:dyDescent="0.2">
      <c r="D75" s="18"/>
      <c r="E75" s="18"/>
      <c r="F75" s="24"/>
      <c r="G75" s="25"/>
      <c r="H75" s="21"/>
      <c r="I75" s="22"/>
      <c r="J75" s="22"/>
      <c r="K75" s="22"/>
      <c r="L75" s="22"/>
      <c r="M75" s="22"/>
      <c r="N75" s="22"/>
      <c r="O75" s="22"/>
      <c r="P75" s="22"/>
      <c r="Q75" s="22"/>
      <c r="R75" s="22"/>
      <c r="S75" s="22"/>
      <c r="T75" s="22"/>
      <c r="U75" s="18"/>
      <c r="V75" s="22"/>
      <c r="W75" s="22"/>
      <c r="X75" s="22"/>
      <c r="Y75" s="22"/>
      <c r="Z75" s="22"/>
      <c r="AA75" s="22"/>
      <c r="AB75" s="22"/>
      <c r="AC75" s="22"/>
      <c r="AD75" s="22"/>
      <c r="AE75" s="18"/>
    </row>
    <row r="76" spans="4:31" x14ac:dyDescent="0.2">
      <c r="D76" s="18"/>
      <c r="E76" s="18"/>
      <c r="F76" s="24"/>
      <c r="G76" s="25"/>
      <c r="H76" s="21"/>
      <c r="I76" s="22"/>
      <c r="J76" s="22"/>
      <c r="K76" s="22"/>
      <c r="L76" s="22"/>
      <c r="M76" s="22"/>
      <c r="N76" s="22"/>
      <c r="O76" s="22"/>
      <c r="P76" s="22"/>
      <c r="Q76" s="22"/>
      <c r="R76" s="22"/>
      <c r="S76" s="22"/>
      <c r="T76" s="22"/>
      <c r="U76" s="18"/>
      <c r="V76" s="22"/>
      <c r="W76" s="22"/>
      <c r="X76" s="22"/>
      <c r="Y76" s="22"/>
      <c r="Z76" s="22"/>
      <c r="AA76" s="22"/>
      <c r="AB76" s="22"/>
      <c r="AC76" s="22"/>
      <c r="AD76" s="22"/>
      <c r="AE76" s="18"/>
    </row>
    <row r="77" spans="4:31" x14ac:dyDescent="0.2">
      <c r="D77" s="18"/>
      <c r="E77" s="18"/>
      <c r="F77" s="24"/>
      <c r="G77" s="25"/>
      <c r="H77" s="21"/>
      <c r="I77" s="22"/>
      <c r="J77" s="22"/>
      <c r="K77" s="22"/>
      <c r="L77" s="22"/>
      <c r="M77" s="22"/>
      <c r="N77" s="22"/>
      <c r="O77" s="22"/>
      <c r="P77" s="22"/>
      <c r="Q77" s="22"/>
      <c r="R77" s="22"/>
      <c r="S77" s="22"/>
      <c r="T77" s="22"/>
      <c r="U77" s="18"/>
      <c r="V77" s="22"/>
      <c r="W77" s="22"/>
      <c r="X77" s="22"/>
      <c r="Y77" s="22"/>
      <c r="Z77" s="22"/>
      <c r="AA77" s="22"/>
      <c r="AB77" s="22"/>
      <c r="AC77" s="22"/>
      <c r="AD77" s="22"/>
      <c r="AE77" s="18"/>
    </row>
    <row r="78" spans="4:31" x14ac:dyDescent="0.2">
      <c r="D78" s="18"/>
      <c r="E78" s="18"/>
      <c r="F78" s="24"/>
      <c r="G78" s="25"/>
      <c r="H78" s="21"/>
      <c r="I78" s="22"/>
      <c r="J78" s="22"/>
      <c r="K78" s="22"/>
      <c r="L78" s="22"/>
      <c r="M78" s="22"/>
      <c r="N78" s="22"/>
      <c r="O78" s="22"/>
      <c r="P78" s="22"/>
      <c r="Q78" s="22"/>
      <c r="R78" s="22"/>
      <c r="S78" s="22"/>
      <c r="T78" s="22"/>
      <c r="U78" s="18"/>
      <c r="V78" s="22"/>
      <c r="W78" s="22"/>
      <c r="X78" s="22"/>
      <c r="Y78" s="22"/>
      <c r="Z78" s="22"/>
      <c r="AA78" s="22"/>
      <c r="AB78" s="22"/>
      <c r="AC78" s="22"/>
      <c r="AD78" s="22"/>
      <c r="AE78" s="18"/>
    </row>
    <row r="79" spans="4:31" x14ac:dyDescent="0.2">
      <c r="D79" s="18"/>
      <c r="E79" s="18"/>
      <c r="F79" s="24"/>
      <c r="G79" s="25"/>
      <c r="H79" s="21"/>
      <c r="I79" s="22"/>
      <c r="J79" s="22"/>
      <c r="K79" s="22"/>
      <c r="L79" s="22"/>
      <c r="M79" s="22"/>
      <c r="N79" s="22"/>
      <c r="O79" s="22"/>
      <c r="P79" s="22"/>
      <c r="Q79" s="22"/>
      <c r="R79" s="22"/>
      <c r="S79" s="22"/>
      <c r="T79" s="22"/>
      <c r="U79" s="18"/>
      <c r="V79" s="22"/>
      <c r="W79" s="22"/>
      <c r="X79" s="22"/>
      <c r="Y79" s="22"/>
      <c r="Z79" s="22"/>
      <c r="AA79" s="22"/>
      <c r="AB79" s="22"/>
      <c r="AC79" s="22"/>
      <c r="AD79" s="22"/>
      <c r="AE79" s="18"/>
    </row>
    <row r="80" spans="4:31" x14ac:dyDescent="0.2">
      <c r="D80" s="18"/>
      <c r="E80" s="18"/>
      <c r="F80" s="24"/>
      <c r="G80" s="25"/>
      <c r="H80" s="21"/>
      <c r="I80" s="22"/>
      <c r="J80" s="22"/>
      <c r="K80" s="22"/>
      <c r="L80" s="22"/>
      <c r="M80" s="22"/>
      <c r="N80" s="22"/>
      <c r="O80" s="22"/>
      <c r="P80" s="22"/>
      <c r="Q80" s="22"/>
      <c r="R80" s="22"/>
      <c r="S80" s="22"/>
      <c r="T80" s="22"/>
      <c r="U80" s="18"/>
      <c r="V80" s="22"/>
      <c r="W80" s="22"/>
      <c r="X80" s="22"/>
      <c r="Y80" s="22"/>
      <c r="Z80" s="22"/>
      <c r="AA80" s="22"/>
      <c r="AB80" s="22"/>
      <c r="AC80" s="22"/>
      <c r="AD80" s="22"/>
      <c r="AE80" s="18"/>
    </row>
    <row r="81" spans="4:31" x14ac:dyDescent="0.2">
      <c r="D81" s="18"/>
      <c r="E81" s="18"/>
      <c r="F81" s="24"/>
      <c r="G81" s="25"/>
      <c r="H81" s="21"/>
      <c r="I81" s="22"/>
      <c r="J81" s="22"/>
      <c r="K81" s="22"/>
      <c r="L81" s="22"/>
      <c r="M81" s="22"/>
      <c r="N81" s="22"/>
      <c r="O81" s="22"/>
      <c r="P81" s="22"/>
      <c r="Q81" s="22"/>
      <c r="R81" s="22"/>
      <c r="S81" s="22"/>
      <c r="T81" s="22"/>
      <c r="U81" s="18"/>
      <c r="V81" s="22"/>
      <c r="W81" s="22"/>
      <c r="X81" s="22"/>
      <c r="Y81" s="22"/>
      <c r="Z81" s="22"/>
      <c r="AA81" s="22"/>
      <c r="AB81" s="22"/>
      <c r="AC81" s="22"/>
      <c r="AD81" s="22"/>
      <c r="AE81" s="18"/>
    </row>
    <row r="82" spans="4:31" x14ac:dyDescent="0.2">
      <c r="D82" s="18"/>
      <c r="E82" s="18"/>
      <c r="F82" s="24"/>
      <c r="G82" s="25"/>
      <c r="H82" s="21"/>
      <c r="I82" s="22"/>
      <c r="J82" s="22"/>
      <c r="K82" s="22"/>
      <c r="L82" s="22"/>
      <c r="M82" s="22"/>
      <c r="N82" s="22"/>
      <c r="O82" s="22"/>
      <c r="P82" s="22"/>
      <c r="Q82" s="22"/>
      <c r="R82" s="22"/>
      <c r="S82" s="22"/>
      <c r="T82" s="22"/>
      <c r="U82" s="18"/>
      <c r="V82" s="22"/>
      <c r="W82" s="22"/>
      <c r="X82" s="22"/>
      <c r="Y82" s="22"/>
      <c r="Z82" s="22"/>
      <c r="AA82" s="22"/>
      <c r="AB82" s="22"/>
      <c r="AC82" s="22"/>
      <c r="AD82" s="22"/>
      <c r="AE82" s="18"/>
    </row>
    <row r="83" spans="4:31" x14ac:dyDescent="0.2">
      <c r="D83" s="18"/>
      <c r="E83" s="18"/>
      <c r="F83" s="24"/>
      <c r="G83" s="25"/>
      <c r="H83" s="21"/>
      <c r="I83" s="22"/>
      <c r="J83" s="22"/>
      <c r="K83" s="22"/>
      <c r="L83" s="22"/>
      <c r="M83" s="22"/>
      <c r="N83" s="22"/>
      <c r="O83" s="22"/>
      <c r="P83" s="22"/>
      <c r="Q83" s="22"/>
      <c r="R83" s="22"/>
      <c r="S83" s="22"/>
      <c r="T83" s="22"/>
      <c r="U83" s="18"/>
      <c r="V83" s="22"/>
      <c r="W83" s="22"/>
      <c r="X83" s="22"/>
      <c r="Y83" s="22"/>
      <c r="Z83" s="22"/>
      <c r="AA83" s="22"/>
      <c r="AB83" s="22"/>
      <c r="AC83" s="22"/>
      <c r="AD83" s="22"/>
      <c r="AE83" s="18"/>
    </row>
    <row r="84" spans="4:31" x14ac:dyDescent="0.2">
      <c r="D84" s="18"/>
      <c r="E84" s="18"/>
      <c r="F84" s="24"/>
      <c r="G84" s="25"/>
      <c r="H84" s="21"/>
      <c r="I84" s="22"/>
      <c r="J84" s="22"/>
      <c r="K84" s="22"/>
      <c r="L84" s="22"/>
      <c r="M84" s="22"/>
      <c r="N84" s="22"/>
      <c r="O84" s="22"/>
      <c r="P84" s="22"/>
      <c r="Q84" s="22"/>
      <c r="R84" s="22"/>
      <c r="S84" s="22"/>
      <c r="T84" s="22"/>
      <c r="U84" s="18"/>
      <c r="V84" s="22"/>
      <c r="W84" s="22"/>
      <c r="X84" s="22"/>
      <c r="Y84" s="22"/>
      <c r="Z84" s="22"/>
      <c r="AA84" s="22"/>
      <c r="AB84" s="22"/>
      <c r="AC84" s="22"/>
      <c r="AD84" s="22"/>
      <c r="AE84" s="18"/>
    </row>
    <row r="85" spans="4:31" x14ac:dyDescent="0.2">
      <c r="D85" s="18"/>
      <c r="E85" s="18"/>
      <c r="F85" s="24"/>
      <c r="G85" s="25"/>
      <c r="H85" s="21"/>
      <c r="I85" s="22"/>
      <c r="J85" s="22"/>
      <c r="K85" s="22"/>
      <c r="L85" s="22"/>
      <c r="M85" s="22"/>
      <c r="N85" s="22"/>
      <c r="O85" s="22"/>
      <c r="P85" s="22"/>
      <c r="Q85" s="22"/>
      <c r="R85" s="22"/>
      <c r="S85" s="22"/>
      <c r="T85" s="22"/>
      <c r="U85" s="18"/>
      <c r="V85" s="22"/>
      <c r="W85" s="22"/>
      <c r="X85" s="22"/>
      <c r="Y85" s="22"/>
      <c r="Z85" s="22"/>
      <c r="AA85" s="22"/>
      <c r="AB85" s="22"/>
      <c r="AC85" s="22"/>
      <c r="AD85" s="22"/>
      <c r="AE85" s="18"/>
    </row>
    <row r="86" spans="4:31" x14ac:dyDescent="0.2">
      <c r="D86" s="18"/>
      <c r="E86" s="18"/>
      <c r="F86" s="24"/>
      <c r="G86" s="25"/>
      <c r="H86" s="21"/>
      <c r="I86" s="22"/>
      <c r="J86" s="22"/>
      <c r="K86" s="22"/>
      <c r="L86" s="22"/>
      <c r="M86" s="22"/>
      <c r="N86" s="22"/>
      <c r="O86" s="22"/>
      <c r="P86" s="22"/>
      <c r="Q86" s="22"/>
      <c r="R86" s="22"/>
      <c r="S86" s="22"/>
      <c r="T86" s="22"/>
      <c r="U86" s="18"/>
      <c r="V86" s="22"/>
      <c r="W86" s="22"/>
      <c r="X86" s="22"/>
      <c r="Y86" s="22"/>
      <c r="Z86" s="22"/>
      <c r="AA86" s="22"/>
      <c r="AB86" s="22"/>
      <c r="AC86" s="22"/>
      <c r="AD86" s="22"/>
      <c r="AE86" s="18"/>
    </row>
    <row r="87" spans="4:31" x14ac:dyDescent="0.2">
      <c r="D87" s="18"/>
      <c r="E87" s="18"/>
      <c r="F87" s="24"/>
      <c r="G87" s="25"/>
      <c r="H87" s="21"/>
      <c r="I87" s="22"/>
      <c r="J87" s="22"/>
      <c r="K87" s="22"/>
      <c r="L87" s="22"/>
      <c r="M87" s="22"/>
      <c r="N87" s="22"/>
      <c r="O87" s="22"/>
      <c r="P87" s="22"/>
      <c r="Q87" s="22"/>
      <c r="R87" s="22"/>
      <c r="S87" s="22"/>
      <c r="T87" s="22"/>
      <c r="U87" s="18"/>
      <c r="V87" s="22"/>
      <c r="W87" s="22"/>
      <c r="X87" s="22"/>
      <c r="Y87" s="22"/>
      <c r="Z87" s="22"/>
      <c r="AA87" s="22"/>
      <c r="AB87" s="22"/>
      <c r="AC87" s="22"/>
      <c r="AD87" s="22"/>
      <c r="AE87" s="18"/>
    </row>
    <row r="88" spans="4:31" x14ac:dyDescent="0.2">
      <c r="D88" s="18"/>
      <c r="E88" s="18"/>
      <c r="F88" s="24"/>
      <c r="G88" s="25"/>
      <c r="H88" s="21"/>
      <c r="I88" s="22"/>
      <c r="J88" s="22"/>
      <c r="K88" s="22"/>
      <c r="L88" s="22"/>
      <c r="M88" s="22"/>
      <c r="N88" s="22"/>
      <c r="O88" s="22"/>
      <c r="P88" s="22"/>
      <c r="Q88" s="22"/>
      <c r="R88" s="22"/>
      <c r="S88" s="22"/>
      <c r="T88" s="22"/>
      <c r="U88" s="18"/>
      <c r="V88" s="22"/>
      <c r="W88" s="22"/>
      <c r="X88" s="22"/>
      <c r="Y88" s="22"/>
      <c r="Z88" s="22"/>
      <c r="AA88" s="22"/>
      <c r="AB88" s="22"/>
      <c r="AC88" s="22"/>
      <c r="AD88" s="22"/>
      <c r="AE88" s="18"/>
    </row>
    <row r="89" spans="4:31" x14ac:dyDescent="0.2">
      <c r="D89" s="18"/>
      <c r="E89" s="18"/>
      <c r="F89" s="24"/>
      <c r="G89" s="25"/>
      <c r="H89" s="21"/>
      <c r="I89" s="22"/>
      <c r="J89" s="22"/>
      <c r="K89" s="22"/>
      <c r="L89" s="22"/>
      <c r="M89" s="22"/>
      <c r="N89" s="22"/>
      <c r="O89" s="22"/>
      <c r="P89" s="22"/>
      <c r="Q89" s="22"/>
      <c r="R89" s="22"/>
      <c r="S89" s="22"/>
      <c r="T89" s="22"/>
      <c r="U89" s="18"/>
      <c r="V89" s="22"/>
      <c r="W89" s="22"/>
      <c r="X89" s="22"/>
      <c r="Y89" s="22"/>
      <c r="Z89" s="22"/>
      <c r="AA89" s="22"/>
      <c r="AB89" s="22"/>
      <c r="AC89" s="22"/>
      <c r="AD89" s="22"/>
      <c r="AE89" s="18"/>
    </row>
    <row r="90" spans="4:31" x14ac:dyDescent="0.2">
      <c r="D90" s="18"/>
      <c r="E90" s="18"/>
      <c r="F90" s="24"/>
      <c r="G90" s="25"/>
      <c r="H90" s="21"/>
      <c r="I90" s="22"/>
      <c r="J90" s="22"/>
      <c r="K90" s="22"/>
      <c r="L90" s="22"/>
      <c r="M90" s="22"/>
      <c r="N90" s="22"/>
      <c r="O90" s="22"/>
      <c r="P90" s="22"/>
      <c r="Q90" s="22"/>
      <c r="R90" s="22"/>
      <c r="S90" s="22"/>
      <c r="T90" s="22"/>
      <c r="U90" s="18"/>
      <c r="V90" s="22"/>
      <c r="W90" s="22"/>
      <c r="X90" s="22"/>
      <c r="Y90" s="22"/>
      <c r="Z90" s="22"/>
      <c r="AA90" s="22"/>
      <c r="AB90" s="22"/>
      <c r="AC90" s="22"/>
      <c r="AD90" s="22"/>
      <c r="AE90" s="18"/>
    </row>
    <row r="91" spans="4:31" x14ac:dyDescent="0.2">
      <c r="D91" s="18"/>
      <c r="E91" s="18"/>
      <c r="F91" s="24"/>
      <c r="G91" s="25"/>
      <c r="H91" s="21"/>
      <c r="I91" s="22"/>
      <c r="J91" s="22"/>
      <c r="K91" s="22"/>
      <c r="L91" s="22"/>
      <c r="M91" s="22"/>
      <c r="N91" s="22"/>
      <c r="O91" s="22"/>
      <c r="P91" s="22"/>
      <c r="Q91" s="22"/>
      <c r="R91" s="22"/>
      <c r="S91" s="22"/>
      <c r="T91" s="22"/>
      <c r="U91" s="18"/>
      <c r="V91" s="22"/>
      <c r="W91" s="22"/>
      <c r="X91" s="22"/>
      <c r="Y91" s="22"/>
      <c r="Z91" s="22"/>
      <c r="AA91" s="22"/>
      <c r="AB91" s="22"/>
      <c r="AC91" s="22"/>
      <c r="AD91" s="22"/>
      <c r="AE91" s="18"/>
    </row>
    <row r="92" spans="4:31" x14ac:dyDescent="0.2">
      <c r="D92" s="18"/>
      <c r="E92" s="18"/>
      <c r="F92" s="24"/>
      <c r="G92" s="25"/>
      <c r="H92" s="21"/>
      <c r="I92" s="22"/>
      <c r="J92" s="22"/>
      <c r="K92" s="22"/>
      <c r="L92" s="22"/>
      <c r="M92" s="22"/>
      <c r="N92" s="22"/>
      <c r="O92" s="22"/>
      <c r="P92" s="22"/>
      <c r="Q92" s="22"/>
      <c r="R92" s="22"/>
      <c r="S92" s="22"/>
      <c r="T92" s="22"/>
      <c r="U92" s="18"/>
      <c r="V92" s="22"/>
      <c r="W92" s="22"/>
      <c r="X92" s="22"/>
      <c r="Y92" s="22"/>
      <c r="Z92" s="22"/>
      <c r="AA92" s="22"/>
      <c r="AB92" s="22"/>
      <c r="AC92" s="22"/>
      <c r="AD92" s="22"/>
      <c r="AE92" s="18"/>
    </row>
    <row r="93" spans="4:31" x14ac:dyDescent="0.2">
      <c r="D93" s="18"/>
      <c r="E93" s="18"/>
      <c r="F93" s="24"/>
      <c r="G93" s="25"/>
      <c r="H93" s="21"/>
      <c r="I93" s="22"/>
      <c r="J93" s="22"/>
      <c r="K93" s="22"/>
      <c r="L93" s="22"/>
      <c r="M93" s="22"/>
      <c r="N93" s="22"/>
      <c r="O93" s="22"/>
      <c r="P93" s="22"/>
      <c r="Q93" s="22"/>
      <c r="R93" s="22"/>
      <c r="S93" s="22"/>
      <c r="T93" s="22"/>
      <c r="U93" s="18"/>
      <c r="V93" s="22"/>
      <c r="W93" s="22"/>
      <c r="X93" s="22"/>
      <c r="Y93" s="22"/>
      <c r="Z93" s="22"/>
      <c r="AA93" s="22"/>
      <c r="AB93" s="22"/>
      <c r="AC93" s="22"/>
      <c r="AD93" s="22"/>
      <c r="AE93" s="18"/>
    </row>
    <row r="94" spans="4:31" x14ac:dyDescent="0.2">
      <c r="D94" s="18"/>
      <c r="E94" s="18"/>
      <c r="F94" s="24"/>
      <c r="G94" s="25"/>
      <c r="H94" s="21"/>
      <c r="I94" s="22"/>
      <c r="J94" s="22"/>
      <c r="K94" s="22"/>
      <c r="L94" s="22"/>
      <c r="M94" s="22"/>
      <c r="N94" s="22"/>
      <c r="O94" s="22"/>
      <c r="P94" s="22"/>
      <c r="Q94" s="22"/>
      <c r="R94" s="22"/>
      <c r="S94" s="22"/>
      <c r="T94" s="22"/>
      <c r="U94" s="18"/>
      <c r="V94" s="22"/>
      <c r="W94" s="22"/>
      <c r="X94" s="22"/>
      <c r="Y94" s="22"/>
      <c r="Z94" s="22"/>
      <c r="AA94" s="22"/>
      <c r="AB94" s="22"/>
      <c r="AC94" s="22"/>
      <c r="AD94" s="22"/>
      <c r="AE94" s="18"/>
    </row>
    <row r="95" spans="4:31" x14ac:dyDescent="0.2">
      <c r="D95" s="18"/>
      <c r="E95" s="18"/>
      <c r="F95" s="24"/>
      <c r="G95" s="25"/>
      <c r="H95" s="21"/>
      <c r="I95" s="22"/>
      <c r="J95" s="22"/>
      <c r="K95" s="22"/>
      <c r="L95" s="22"/>
      <c r="M95" s="22"/>
      <c r="N95" s="22"/>
      <c r="O95" s="22"/>
      <c r="P95" s="22"/>
      <c r="Q95" s="22"/>
      <c r="R95" s="22"/>
      <c r="S95" s="22"/>
      <c r="T95" s="22"/>
      <c r="U95" s="18"/>
      <c r="V95" s="22"/>
      <c r="W95" s="22"/>
      <c r="X95" s="22"/>
      <c r="Y95" s="22"/>
      <c r="Z95" s="22"/>
      <c r="AA95" s="22"/>
      <c r="AB95" s="22"/>
      <c r="AC95" s="22"/>
      <c r="AD95" s="22"/>
      <c r="AE95" s="18"/>
    </row>
    <row r="96" spans="4:31" x14ac:dyDescent="0.2">
      <c r="D96" s="18"/>
      <c r="E96" s="18"/>
      <c r="F96" s="24"/>
      <c r="G96" s="25"/>
      <c r="H96" s="21"/>
      <c r="I96" s="22"/>
      <c r="J96" s="22"/>
      <c r="K96" s="22"/>
      <c r="L96" s="22"/>
      <c r="M96" s="22"/>
      <c r="N96" s="22"/>
      <c r="O96" s="22"/>
      <c r="P96" s="22"/>
      <c r="Q96" s="22"/>
      <c r="R96" s="22"/>
      <c r="S96" s="22"/>
      <c r="T96" s="22"/>
      <c r="U96" s="18"/>
      <c r="V96" s="22"/>
      <c r="W96" s="22"/>
      <c r="X96" s="22"/>
      <c r="Y96" s="22"/>
      <c r="Z96" s="22"/>
      <c r="AA96" s="22"/>
      <c r="AB96" s="22"/>
      <c r="AC96" s="22"/>
      <c r="AD96" s="22"/>
      <c r="AE96" s="18"/>
    </row>
    <row r="97" spans="4:31" x14ac:dyDescent="0.2">
      <c r="D97" s="18"/>
      <c r="E97" s="18"/>
      <c r="F97" s="24"/>
      <c r="G97" s="25"/>
      <c r="H97" s="21"/>
      <c r="I97" s="22"/>
      <c r="J97" s="22"/>
      <c r="K97" s="22"/>
      <c r="L97" s="22"/>
      <c r="M97" s="22"/>
      <c r="N97" s="22"/>
      <c r="O97" s="22"/>
      <c r="P97" s="22"/>
      <c r="Q97" s="22"/>
      <c r="R97" s="22"/>
      <c r="S97" s="22"/>
      <c r="T97" s="22"/>
      <c r="U97" s="18"/>
      <c r="V97" s="22"/>
      <c r="W97" s="22"/>
      <c r="X97" s="22"/>
      <c r="Y97" s="22"/>
      <c r="Z97" s="22"/>
      <c r="AA97" s="22"/>
      <c r="AB97" s="22"/>
      <c r="AC97" s="22"/>
      <c r="AD97" s="22"/>
      <c r="AE97" s="18"/>
    </row>
    <row r="98" spans="4:31" x14ac:dyDescent="0.2">
      <c r="D98" s="18"/>
      <c r="E98" s="18"/>
      <c r="F98" s="24"/>
      <c r="G98" s="25"/>
      <c r="H98" s="21"/>
      <c r="I98" s="22"/>
      <c r="J98" s="22"/>
      <c r="K98" s="22"/>
      <c r="L98" s="22"/>
      <c r="M98" s="22"/>
      <c r="N98" s="22"/>
      <c r="O98" s="22"/>
      <c r="P98" s="22"/>
      <c r="Q98" s="22"/>
      <c r="R98" s="22"/>
      <c r="S98" s="22"/>
      <c r="T98" s="22"/>
      <c r="U98" s="18"/>
      <c r="V98" s="22"/>
      <c r="W98" s="22"/>
      <c r="X98" s="22"/>
      <c r="Y98" s="22"/>
      <c r="Z98" s="22"/>
      <c r="AA98" s="22"/>
      <c r="AB98" s="22"/>
      <c r="AC98" s="22"/>
      <c r="AD98" s="22"/>
      <c r="AE98" s="18"/>
    </row>
    <row r="99" spans="4:31" x14ac:dyDescent="0.2">
      <c r="D99" s="18"/>
      <c r="E99" s="18"/>
      <c r="F99" s="24"/>
      <c r="G99" s="25"/>
      <c r="H99" s="21"/>
      <c r="I99" s="22"/>
      <c r="J99" s="22"/>
      <c r="K99" s="22"/>
      <c r="L99" s="22"/>
      <c r="M99" s="22"/>
      <c r="N99" s="22"/>
      <c r="O99" s="22"/>
      <c r="P99" s="22"/>
      <c r="Q99" s="22"/>
      <c r="R99" s="22"/>
      <c r="S99" s="22"/>
      <c r="T99" s="22"/>
      <c r="U99" s="18"/>
      <c r="V99" s="22"/>
      <c r="W99" s="22"/>
      <c r="X99" s="22"/>
      <c r="Y99" s="22"/>
      <c r="Z99" s="22"/>
      <c r="AA99" s="22"/>
      <c r="AB99" s="22"/>
      <c r="AC99" s="22"/>
      <c r="AD99" s="22"/>
      <c r="AE99" s="18"/>
    </row>
    <row r="100" spans="4:31" x14ac:dyDescent="0.2">
      <c r="D100" s="18"/>
      <c r="E100" s="18"/>
      <c r="F100" s="24"/>
      <c r="G100" s="25"/>
      <c r="H100" s="21"/>
      <c r="I100" s="22"/>
      <c r="J100" s="22"/>
      <c r="K100" s="22"/>
      <c r="L100" s="22"/>
      <c r="M100" s="22"/>
      <c r="N100" s="22"/>
      <c r="O100" s="22"/>
      <c r="P100" s="22"/>
      <c r="Q100" s="22"/>
      <c r="R100" s="22"/>
      <c r="S100" s="22"/>
      <c r="T100" s="22"/>
      <c r="U100" s="18"/>
      <c r="V100" s="22"/>
      <c r="W100" s="22"/>
      <c r="X100" s="22"/>
      <c r="Y100" s="22"/>
      <c r="Z100" s="22"/>
      <c r="AA100" s="22"/>
      <c r="AB100" s="22"/>
      <c r="AC100" s="22"/>
      <c r="AD100" s="22"/>
      <c r="AE100" s="18"/>
    </row>
    <row r="101" spans="4:31" x14ac:dyDescent="0.2">
      <c r="D101" s="18"/>
      <c r="E101" s="18"/>
      <c r="F101" s="24"/>
      <c r="G101" s="25"/>
      <c r="H101" s="21"/>
      <c r="I101" s="22"/>
      <c r="J101" s="22"/>
      <c r="K101" s="22"/>
      <c r="L101" s="22"/>
      <c r="M101" s="22"/>
      <c r="N101" s="22"/>
      <c r="O101" s="22"/>
      <c r="P101" s="22"/>
      <c r="Q101" s="22"/>
      <c r="R101" s="22"/>
      <c r="S101" s="22"/>
      <c r="T101" s="22"/>
      <c r="U101" s="18"/>
      <c r="V101" s="22"/>
      <c r="W101" s="22"/>
      <c r="X101" s="22"/>
      <c r="Y101" s="22"/>
      <c r="Z101" s="22"/>
      <c r="AA101" s="22"/>
      <c r="AB101" s="22"/>
      <c r="AC101" s="22"/>
      <c r="AD101" s="22"/>
      <c r="AE101" s="18"/>
    </row>
    <row r="102" spans="4:31" x14ac:dyDescent="0.2">
      <c r="D102" s="18"/>
      <c r="E102" s="18"/>
      <c r="F102" s="24"/>
      <c r="G102" s="25"/>
      <c r="H102" s="21"/>
      <c r="I102" s="22"/>
      <c r="J102" s="22"/>
      <c r="K102" s="22"/>
      <c r="L102" s="22"/>
      <c r="M102" s="22"/>
      <c r="N102" s="22"/>
      <c r="O102" s="22"/>
      <c r="P102" s="22"/>
      <c r="Q102" s="22"/>
      <c r="R102" s="22"/>
      <c r="S102" s="22"/>
      <c r="T102" s="22"/>
      <c r="U102" s="18"/>
      <c r="V102" s="22"/>
      <c r="W102" s="22"/>
      <c r="X102" s="22"/>
      <c r="Y102" s="22"/>
      <c r="Z102" s="22"/>
      <c r="AA102" s="22"/>
      <c r="AB102" s="22"/>
      <c r="AC102" s="22"/>
      <c r="AD102" s="22"/>
      <c r="AE102" s="18"/>
    </row>
    <row r="103" spans="4:31" x14ac:dyDescent="0.2">
      <c r="D103" s="18"/>
      <c r="E103" s="18"/>
      <c r="F103" s="24"/>
      <c r="G103" s="25"/>
      <c r="H103" s="21"/>
      <c r="I103" s="22"/>
      <c r="J103" s="22"/>
      <c r="K103" s="22"/>
      <c r="L103" s="22"/>
      <c r="M103" s="22"/>
      <c r="N103" s="22"/>
      <c r="O103" s="22"/>
      <c r="P103" s="22"/>
      <c r="Q103" s="22"/>
      <c r="R103" s="22"/>
      <c r="S103" s="22"/>
      <c r="T103" s="22"/>
      <c r="U103" s="18"/>
      <c r="V103" s="22"/>
      <c r="W103" s="22"/>
      <c r="X103" s="22"/>
      <c r="Y103" s="22"/>
      <c r="Z103" s="22"/>
      <c r="AA103" s="22"/>
      <c r="AB103" s="22"/>
      <c r="AC103" s="22"/>
      <c r="AD103" s="22"/>
      <c r="AE103" s="18"/>
    </row>
    <row r="104" spans="4:31" x14ac:dyDescent="0.2">
      <c r="D104" s="18"/>
      <c r="E104" s="18"/>
      <c r="F104" s="24"/>
      <c r="G104" s="25"/>
      <c r="H104" s="21"/>
      <c r="I104" s="22"/>
      <c r="J104" s="22"/>
      <c r="K104" s="22"/>
      <c r="L104" s="22"/>
      <c r="M104" s="22"/>
      <c r="N104" s="22"/>
      <c r="O104" s="22"/>
      <c r="P104" s="22"/>
      <c r="Q104" s="22"/>
      <c r="R104" s="22"/>
      <c r="S104" s="22"/>
      <c r="T104" s="22"/>
      <c r="U104" s="18"/>
      <c r="V104" s="22"/>
      <c r="W104" s="22"/>
      <c r="X104" s="22"/>
      <c r="Y104" s="22"/>
      <c r="Z104" s="22"/>
      <c r="AA104" s="22"/>
      <c r="AB104" s="22"/>
      <c r="AC104" s="22"/>
      <c r="AD104" s="22"/>
      <c r="AE104" s="18"/>
    </row>
    <row r="105" spans="4:31" x14ac:dyDescent="0.2">
      <c r="D105" s="18"/>
      <c r="E105" s="18"/>
      <c r="F105" s="24"/>
      <c r="G105" s="25"/>
      <c r="H105" s="21"/>
      <c r="I105" s="22"/>
      <c r="J105" s="22"/>
      <c r="K105" s="22"/>
      <c r="L105" s="22"/>
      <c r="M105" s="22"/>
      <c r="N105" s="22"/>
      <c r="O105" s="22"/>
      <c r="P105" s="22"/>
      <c r="Q105" s="22"/>
      <c r="R105" s="22"/>
      <c r="S105" s="22"/>
      <c r="T105" s="22"/>
      <c r="U105" s="18"/>
      <c r="V105" s="22"/>
      <c r="W105" s="22"/>
      <c r="X105" s="22"/>
      <c r="Y105" s="22"/>
      <c r="Z105" s="22"/>
      <c r="AA105" s="22"/>
      <c r="AB105" s="22"/>
      <c r="AC105" s="22"/>
      <c r="AD105" s="22"/>
      <c r="AE105" s="18"/>
    </row>
    <row r="106" spans="4:31" x14ac:dyDescent="0.2">
      <c r="D106" s="18"/>
      <c r="E106" s="18"/>
      <c r="F106" s="24"/>
      <c r="G106" s="25"/>
      <c r="H106" s="21"/>
      <c r="I106" s="22"/>
      <c r="J106" s="22"/>
      <c r="K106" s="22"/>
      <c r="L106" s="22"/>
      <c r="M106" s="22"/>
      <c r="N106" s="22"/>
      <c r="O106" s="22"/>
      <c r="P106" s="22"/>
      <c r="Q106" s="22"/>
      <c r="R106" s="22"/>
      <c r="S106" s="22"/>
      <c r="T106" s="22"/>
      <c r="U106" s="18"/>
      <c r="V106" s="22"/>
      <c r="W106" s="22"/>
      <c r="X106" s="22"/>
      <c r="Y106" s="22"/>
      <c r="Z106" s="22"/>
      <c r="AA106" s="22"/>
      <c r="AB106" s="22"/>
      <c r="AC106" s="22"/>
      <c r="AD106" s="22"/>
      <c r="AE106" s="18"/>
    </row>
    <row r="107" spans="4:31" x14ac:dyDescent="0.2">
      <c r="D107" s="18"/>
      <c r="E107" s="18"/>
      <c r="F107" s="24"/>
      <c r="G107" s="25"/>
      <c r="H107" s="21"/>
      <c r="I107" s="22"/>
      <c r="J107" s="22"/>
      <c r="K107" s="22"/>
      <c r="L107" s="22"/>
      <c r="M107" s="22"/>
      <c r="N107" s="22"/>
      <c r="O107" s="22"/>
      <c r="P107" s="22"/>
      <c r="Q107" s="22"/>
      <c r="R107" s="22"/>
      <c r="S107" s="22"/>
      <c r="T107" s="22"/>
      <c r="U107" s="18"/>
      <c r="V107" s="22"/>
      <c r="W107" s="22"/>
      <c r="X107" s="22"/>
      <c r="Y107" s="22"/>
      <c r="Z107" s="22"/>
      <c r="AA107" s="22"/>
      <c r="AB107" s="22"/>
      <c r="AC107" s="22"/>
      <c r="AD107" s="22"/>
      <c r="AE107" s="18"/>
    </row>
    <row r="108" spans="4:31" x14ac:dyDescent="0.2">
      <c r="D108" s="18"/>
      <c r="E108" s="18"/>
      <c r="F108" s="24"/>
      <c r="G108" s="25"/>
      <c r="H108" s="21"/>
      <c r="I108" s="22"/>
      <c r="J108" s="22"/>
      <c r="K108" s="22"/>
      <c r="L108" s="22"/>
      <c r="M108" s="22"/>
      <c r="N108" s="22"/>
      <c r="O108" s="22"/>
      <c r="P108" s="22"/>
      <c r="Q108" s="22"/>
      <c r="R108" s="22"/>
      <c r="S108" s="22"/>
      <c r="T108" s="22"/>
      <c r="U108" s="18"/>
      <c r="V108" s="22"/>
      <c r="W108" s="22"/>
      <c r="X108" s="22"/>
      <c r="Y108" s="22"/>
      <c r="Z108" s="22"/>
      <c r="AA108" s="22"/>
      <c r="AB108" s="22"/>
      <c r="AC108" s="22"/>
      <c r="AD108" s="22"/>
      <c r="AE108" s="18"/>
    </row>
    <row r="109" spans="4:31" x14ac:dyDescent="0.2">
      <c r="D109" s="18"/>
      <c r="E109" s="18"/>
      <c r="F109" s="24"/>
      <c r="G109" s="25"/>
      <c r="H109" s="21"/>
      <c r="I109" s="22"/>
      <c r="J109" s="22"/>
      <c r="K109" s="22"/>
      <c r="L109" s="22"/>
      <c r="M109" s="22"/>
      <c r="N109" s="22"/>
      <c r="O109" s="22"/>
      <c r="P109" s="22"/>
      <c r="Q109" s="22"/>
      <c r="R109" s="22"/>
      <c r="S109" s="22"/>
      <c r="T109" s="22"/>
      <c r="U109" s="18"/>
      <c r="V109" s="22"/>
      <c r="W109" s="22"/>
      <c r="X109" s="22"/>
      <c r="Y109" s="22"/>
      <c r="Z109" s="22"/>
      <c r="AA109" s="22"/>
      <c r="AB109" s="22"/>
      <c r="AC109" s="22"/>
      <c r="AD109" s="22"/>
      <c r="AE109" s="18"/>
    </row>
    <row r="110" spans="4:31" x14ac:dyDescent="0.2">
      <c r="D110" s="18"/>
      <c r="E110" s="18"/>
      <c r="F110" s="24"/>
      <c r="G110" s="25"/>
      <c r="H110" s="21"/>
      <c r="I110" s="22"/>
      <c r="J110" s="22"/>
      <c r="K110" s="22"/>
      <c r="L110" s="22"/>
      <c r="M110" s="22"/>
      <c r="N110" s="22"/>
      <c r="O110" s="22"/>
      <c r="P110" s="22"/>
      <c r="Q110" s="22"/>
      <c r="R110" s="22"/>
      <c r="S110" s="22"/>
      <c r="T110" s="22"/>
      <c r="U110" s="18"/>
      <c r="V110" s="22"/>
      <c r="W110" s="22"/>
      <c r="X110" s="22"/>
      <c r="Y110" s="22"/>
      <c r="Z110" s="22"/>
      <c r="AA110" s="22"/>
      <c r="AB110" s="22"/>
      <c r="AC110" s="22"/>
      <c r="AD110" s="22"/>
      <c r="AE110" s="18"/>
    </row>
    <row r="111" spans="4:31" x14ac:dyDescent="0.2">
      <c r="D111" s="18"/>
      <c r="E111" s="18"/>
      <c r="F111" s="24"/>
      <c r="G111" s="25"/>
      <c r="H111" s="21"/>
      <c r="I111" s="22"/>
      <c r="J111" s="22"/>
      <c r="K111" s="22"/>
      <c r="L111" s="22"/>
      <c r="M111" s="22"/>
      <c r="N111" s="22"/>
      <c r="O111" s="22"/>
      <c r="P111" s="22"/>
      <c r="Q111" s="22"/>
      <c r="R111" s="22"/>
      <c r="S111" s="22"/>
      <c r="T111" s="22"/>
      <c r="U111" s="18"/>
      <c r="V111" s="22"/>
      <c r="W111" s="22"/>
      <c r="X111" s="22"/>
      <c r="Y111" s="22"/>
      <c r="Z111" s="22"/>
      <c r="AA111" s="22"/>
      <c r="AB111" s="22"/>
      <c r="AC111" s="22"/>
      <c r="AD111" s="22"/>
      <c r="AE111" s="18"/>
    </row>
    <row r="112" spans="4:31" x14ac:dyDescent="0.2">
      <c r="D112" s="18"/>
      <c r="E112" s="18"/>
      <c r="F112" s="24"/>
      <c r="G112" s="25"/>
      <c r="H112" s="21"/>
      <c r="I112" s="22"/>
      <c r="J112" s="22"/>
      <c r="K112" s="22"/>
      <c r="L112" s="22"/>
      <c r="M112" s="22"/>
      <c r="N112" s="22"/>
      <c r="O112" s="22"/>
      <c r="P112" s="22"/>
      <c r="Q112" s="22"/>
      <c r="R112" s="22"/>
      <c r="S112" s="22"/>
      <c r="T112" s="22"/>
      <c r="U112" s="18"/>
      <c r="V112" s="22"/>
      <c r="W112" s="22"/>
      <c r="X112" s="22"/>
      <c r="Y112" s="22"/>
      <c r="Z112" s="22"/>
      <c r="AA112" s="22"/>
      <c r="AB112" s="22"/>
      <c r="AC112" s="22"/>
      <c r="AD112" s="22"/>
      <c r="AE112" s="18"/>
    </row>
    <row r="113" spans="4:31" x14ac:dyDescent="0.2">
      <c r="D113" s="18"/>
      <c r="E113" s="18"/>
      <c r="F113" s="24"/>
      <c r="G113" s="25"/>
      <c r="H113" s="21"/>
      <c r="I113" s="22"/>
      <c r="J113" s="22"/>
      <c r="K113" s="22"/>
      <c r="L113" s="22"/>
      <c r="M113" s="22"/>
      <c r="N113" s="22"/>
      <c r="O113" s="22"/>
      <c r="P113" s="22"/>
      <c r="Q113" s="22"/>
      <c r="R113" s="22"/>
      <c r="S113" s="22"/>
      <c r="T113" s="22"/>
      <c r="U113" s="18"/>
      <c r="V113" s="22"/>
      <c r="W113" s="22"/>
      <c r="X113" s="22"/>
      <c r="Y113" s="22"/>
      <c r="Z113" s="22"/>
      <c r="AA113" s="22"/>
      <c r="AB113" s="22"/>
      <c r="AC113" s="22"/>
      <c r="AD113" s="22"/>
      <c r="AE113" s="18"/>
    </row>
    <row r="114" spans="4:31" x14ac:dyDescent="0.2">
      <c r="D114" s="18"/>
      <c r="E114" s="18"/>
      <c r="F114" s="24"/>
      <c r="G114" s="25"/>
      <c r="H114" s="21"/>
      <c r="I114" s="22"/>
      <c r="J114" s="22"/>
      <c r="K114" s="22"/>
      <c r="L114" s="22"/>
      <c r="M114" s="22"/>
      <c r="N114" s="22"/>
      <c r="O114" s="22"/>
      <c r="P114" s="22"/>
      <c r="Q114" s="22"/>
      <c r="R114" s="22"/>
      <c r="S114" s="22"/>
      <c r="T114" s="22"/>
      <c r="U114" s="18"/>
      <c r="V114" s="22"/>
      <c r="W114" s="22"/>
      <c r="X114" s="22"/>
      <c r="Y114" s="22"/>
      <c r="Z114" s="22"/>
      <c r="AA114" s="22"/>
      <c r="AB114" s="22"/>
      <c r="AC114" s="22"/>
      <c r="AD114" s="22"/>
      <c r="AE114" s="18"/>
    </row>
    <row r="115" spans="4:31" x14ac:dyDescent="0.2">
      <c r="D115" s="18"/>
      <c r="E115" s="18"/>
      <c r="F115" s="24"/>
      <c r="G115" s="25"/>
      <c r="H115" s="21"/>
      <c r="I115" s="22"/>
      <c r="J115" s="22"/>
      <c r="K115" s="22"/>
      <c r="L115" s="22"/>
      <c r="M115" s="22"/>
      <c r="N115" s="22"/>
      <c r="O115" s="22"/>
      <c r="P115" s="22"/>
      <c r="Q115" s="22"/>
      <c r="R115" s="22"/>
      <c r="S115" s="22"/>
      <c r="T115" s="22"/>
      <c r="U115" s="18"/>
      <c r="V115" s="22"/>
      <c r="W115" s="22"/>
      <c r="X115" s="22"/>
      <c r="Y115" s="22"/>
      <c r="Z115" s="22"/>
      <c r="AA115" s="22"/>
      <c r="AB115" s="22"/>
      <c r="AC115" s="22"/>
      <c r="AD115" s="22"/>
      <c r="AE115" s="18"/>
    </row>
    <row r="116" spans="4:31" x14ac:dyDescent="0.2">
      <c r="D116" s="18"/>
      <c r="E116" s="18"/>
      <c r="F116" s="24"/>
      <c r="G116" s="25"/>
      <c r="H116" s="21"/>
      <c r="I116" s="22"/>
      <c r="J116" s="22"/>
      <c r="K116" s="22"/>
      <c r="L116" s="22"/>
      <c r="M116" s="22"/>
      <c r="N116" s="22"/>
      <c r="O116" s="22"/>
      <c r="P116" s="22"/>
      <c r="Q116" s="22"/>
      <c r="R116" s="22"/>
      <c r="S116" s="22"/>
      <c r="T116" s="22"/>
      <c r="U116" s="18"/>
      <c r="V116" s="22"/>
      <c r="W116" s="22"/>
      <c r="X116" s="22"/>
      <c r="Y116" s="22"/>
      <c r="Z116" s="22"/>
      <c r="AA116" s="22"/>
      <c r="AB116" s="22"/>
      <c r="AC116" s="22"/>
      <c r="AD116" s="22"/>
      <c r="AE116" s="18"/>
    </row>
    <row r="117" spans="4:31" x14ac:dyDescent="0.2">
      <c r="D117" s="18"/>
      <c r="E117" s="18"/>
      <c r="F117" s="24"/>
      <c r="G117" s="25"/>
      <c r="H117" s="21"/>
      <c r="I117" s="22"/>
      <c r="J117" s="22"/>
      <c r="K117" s="22"/>
      <c r="L117" s="22"/>
      <c r="M117" s="22"/>
      <c r="N117" s="22"/>
      <c r="O117" s="22"/>
      <c r="P117" s="22"/>
      <c r="Q117" s="22"/>
      <c r="R117" s="22"/>
      <c r="S117" s="22"/>
      <c r="T117" s="22"/>
      <c r="U117" s="18"/>
      <c r="V117" s="22"/>
      <c r="W117" s="22"/>
      <c r="X117" s="22"/>
      <c r="Y117" s="22"/>
      <c r="Z117" s="22"/>
      <c r="AA117" s="22"/>
      <c r="AB117" s="22"/>
      <c r="AC117" s="22"/>
      <c r="AD117" s="22"/>
      <c r="AE117" s="18"/>
    </row>
    <row r="118" spans="4:31" x14ac:dyDescent="0.2">
      <c r="D118" s="18"/>
      <c r="E118" s="18"/>
      <c r="F118" s="24"/>
      <c r="G118" s="25"/>
      <c r="H118" s="21"/>
      <c r="I118" s="22"/>
      <c r="J118" s="22"/>
      <c r="K118" s="22"/>
      <c r="L118" s="22"/>
      <c r="M118" s="22"/>
      <c r="N118" s="22"/>
      <c r="O118" s="22"/>
      <c r="P118" s="22"/>
      <c r="Q118" s="22"/>
      <c r="R118" s="22"/>
      <c r="S118" s="22"/>
      <c r="T118" s="22"/>
      <c r="U118" s="18"/>
      <c r="V118" s="22"/>
      <c r="W118" s="22"/>
      <c r="X118" s="22"/>
      <c r="Y118" s="22"/>
      <c r="Z118" s="22"/>
      <c r="AA118" s="22"/>
      <c r="AB118" s="22"/>
      <c r="AC118" s="22"/>
      <c r="AD118" s="22"/>
      <c r="AE118" s="18"/>
    </row>
    <row r="119" spans="4:31" x14ac:dyDescent="0.2">
      <c r="D119" s="18"/>
      <c r="E119" s="18"/>
      <c r="F119" s="24"/>
      <c r="G119" s="25"/>
      <c r="H119" s="21"/>
      <c r="I119" s="22"/>
      <c r="J119" s="22"/>
      <c r="K119" s="22"/>
      <c r="L119" s="22"/>
      <c r="M119" s="22"/>
      <c r="N119" s="22"/>
      <c r="O119" s="22"/>
      <c r="P119" s="22"/>
      <c r="Q119" s="22"/>
      <c r="R119" s="22"/>
      <c r="S119" s="22"/>
      <c r="T119" s="22"/>
      <c r="U119" s="18"/>
      <c r="V119" s="22"/>
      <c r="W119" s="22"/>
      <c r="X119" s="22"/>
      <c r="Y119" s="22"/>
      <c r="Z119" s="22"/>
      <c r="AA119" s="22"/>
      <c r="AB119" s="22"/>
      <c r="AC119" s="22"/>
      <c r="AD119" s="22"/>
      <c r="AE119" s="18"/>
    </row>
    <row r="120" spans="4:31" x14ac:dyDescent="0.2">
      <c r="D120" s="18"/>
      <c r="E120" s="18"/>
      <c r="F120" s="24"/>
      <c r="G120" s="25"/>
      <c r="H120" s="21"/>
      <c r="I120" s="22"/>
      <c r="J120" s="22"/>
      <c r="K120" s="22"/>
      <c r="L120" s="22"/>
      <c r="M120" s="22"/>
      <c r="N120" s="22"/>
      <c r="O120" s="22"/>
      <c r="P120" s="22"/>
      <c r="Q120" s="22"/>
      <c r="R120" s="22"/>
      <c r="S120" s="22"/>
      <c r="T120" s="22"/>
      <c r="U120" s="18"/>
      <c r="V120" s="22"/>
      <c r="W120" s="22"/>
      <c r="X120" s="22"/>
      <c r="Y120" s="22"/>
      <c r="Z120" s="22"/>
      <c r="AA120" s="22"/>
      <c r="AB120" s="22"/>
      <c r="AC120" s="22"/>
      <c r="AD120" s="22"/>
      <c r="AE120" s="18"/>
    </row>
    <row r="121" spans="4:31" x14ac:dyDescent="0.2">
      <c r="D121" s="18"/>
      <c r="E121" s="18"/>
      <c r="F121" s="24"/>
      <c r="G121" s="25"/>
      <c r="H121" s="21"/>
      <c r="I121" s="22"/>
      <c r="J121" s="22"/>
      <c r="K121" s="22"/>
      <c r="L121" s="22"/>
      <c r="M121" s="22"/>
      <c r="N121" s="22"/>
      <c r="O121" s="22"/>
      <c r="P121" s="22"/>
      <c r="Q121" s="22"/>
      <c r="R121" s="22"/>
      <c r="S121" s="22"/>
      <c r="T121" s="22"/>
      <c r="U121" s="18"/>
      <c r="V121" s="22"/>
      <c r="W121" s="22"/>
      <c r="X121" s="22"/>
      <c r="Y121" s="22"/>
      <c r="Z121" s="22"/>
      <c r="AA121" s="22"/>
      <c r="AB121" s="22"/>
      <c r="AC121" s="22"/>
      <c r="AD121" s="22"/>
      <c r="AE121" s="18"/>
    </row>
    <row r="122" spans="4:31" x14ac:dyDescent="0.2">
      <c r="D122" s="18"/>
      <c r="E122" s="18"/>
      <c r="F122" s="24"/>
      <c r="G122" s="25"/>
      <c r="H122" s="21"/>
      <c r="I122" s="22"/>
      <c r="J122" s="22"/>
      <c r="K122" s="22"/>
      <c r="L122" s="22"/>
      <c r="M122" s="22"/>
      <c r="N122" s="22"/>
      <c r="O122" s="22"/>
      <c r="P122" s="22"/>
      <c r="Q122" s="22"/>
      <c r="R122" s="22"/>
      <c r="S122" s="22"/>
      <c r="T122" s="22"/>
      <c r="U122" s="18"/>
      <c r="V122" s="22"/>
      <c r="W122" s="22"/>
      <c r="X122" s="22"/>
      <c r="Y122" s="22"/>
      <c r="Z122" s="22"/>
      <c r="AA122" s="22"/>
      <c r="AB122" s="22"/>
      <c r="AC122" s="22"/>
      <c r="AD122" s="22"/>
      <c r="AE122" s="18"/>
    </row>
    <row r="123" spans="4:31" x14ac:dyDescent="0.2">
      <c r="D123" s="18"/>
      <c r="E123" s="18"/>
      <c r="F123" s="24"/>
      <c r="G123" s="25"/>
      <c r="H123" s="21"/>
      <c r="I123" s="22"/>
      <c r="J123" s="22"/>
      <c r="K123" s="22"/>
      <c r="L123" s="22"/>
      <c r="M123" s="22"/>
      <c r="N123" s="22"/>
      <c r="O123" s="22"/>
      <c r="P123" s="22"/>
      <c r="Q123" s="22"/>
      <c r="R123" s="22"/>
      <c r="S123" s="22"/>
      <c r="T123" s="22"/>
      <c r="U123" s="18"/>
      <c r="V123" s="22"/>
      <c r="W123" s="22"/>
      <c r="X123" s="22"/>
      <c r="Y123" s="22"/>
      <c r="Z123" s="22"/>
      <c r="AA123" s="22"/>
      <c r="AB123" s="22"/>
      <c r="AC123" s="22"/>
      <c r="AD123" s="22"/>
      <c r="AE123" s="18"/>
    </row>
    <row r="124" spans="4:31" x14ac:dyDescent="0.2">
      <c r="D124" s="18"/>
      <c r="E124" s="18"/>
      <c r="F124" s="24"/>
      <c r="G124" s="25"/>
      <c r="H124" s="21"/>
      <c r="I124" s="22"/>
      <c r="J124" s="22"/>
      <c r="K124" s="22"/>
      <c r="L124" s="22"/>
      <c r="M124" s="22"/>
      <c r="N124" s="22"/>
      <c r="O124" s="22"/>
      <c r="P124" s="22"/>
      <c r="Q124" s="22"/>
      <c r="R124" s="22"/>
      <c r="S124" s="22"/>
      <c r="T124" s="22"/>
      <c r="U124" s="18"/>
      <c r="V124" s="22"/>
      <c r="W124" s="22"/>
      <c r="X124" s="22"/>
      <c r="Y124" s="22"/>
      <c r="Z124" s="22"/>
      <c r="AA124" s="22"/>
      <c r="AB124" s="22"/>
      <c r="AC124" s="22"/>
      <c r="AD124" s="22"/>
      <c r="AE124" s="18"/>
    </row>
    <row r="125" spans="4:31" x14ac:dyDescent="0.2">
      <c r="D125" s="18"/>
      <c r="E125" s="18"/>
      <c r="F125" s="24"/>
      <c r="G125" s="25"/>
      <c r="H125" s="21"/>
      <c r="I125" s="22"/>
      <c r="J125" s="22"/>
      <c r="K125" s="22"/>
      <c r="L125" s="22"/>
      <c r="M125" s="22"/>
      <c r="N125" s="22"/>
      <c r="O125" s="22"/>
      <c r="P125" s="22"/>
      <c r="Q125" s="22"/>
      <c r="R125" s="22"/>
      <c r="S125" s="22"/>
      <c r="T125" s="22"/>
      <c r="U125" s="18"/>
      <c r="V125" s="22"/>
      <c r="W125" s="22"/>
      <c r="X125" s="22"/>
      <c r="Y125" s="22"/>
      <c r="Z125" s="22"/>
      <c r="AA125" s="22"/>
      <c r="AB125" s="22"/>
      <c r="AC125" s="22"/>
      <c r="AD125" s="22"/>
      <c r="AE125" s="18"/>
    </row>
    <row r="126" spans="4:31" x14ac:dyDescent="0.2">
      <c r="D126" s="18"/>
      <c r="E126" s="18"/>
      <c r="F126" s="24"/>
      <c r="G126" s="25"/>
      <c r="H126" s="21"/>
      <c r="I126" s="22"/>
      <c r="J126" s="22"/>
      <c r="K126" s="22"/>
      <c r="L126" s="22"/>
      <c r="M126" s="22"/>
      <c r="N126" s="22"/>
      <c r="O126" s="22"/>
      <c r="P126" s="22"/>
      <c r="Q126" s="22"/>
      <c r="R126" s="22"/>
      <c r="S126" s="22"/>
      <c r="T126" s="22"/>
      <c r="U126" s="18"/>
      <c r="V126" s="22"/>
      <c r="W126" s="22"/>
      <c r="X126" s="22"/>
      <c r="Y126" s="22"/>
      <c r="Z126" s="22"/>
      <c r="AA126" s="22"/>
      <c r="AB126" s="22"/>
      <c r="AC126" s="22"/>
      <c r="AD126" s="22"/>
      <c r="AE126" s="18"/>
    </row>
    <row r="127" spans="4:31" x14ac:dyDescent="0.2">
      <c r="D127" s="18"/>
      <c r="E127" s="18"/>
      <c r="F127" s="24"/>
      <c r="G127" s="25"/>
      <c r="H127" s="21"/>
      <c r="I127" s="22"/>
      <c r="J127" s="22"/>
      <c r="K127" s="22"/>
      <c r="L127" s="22"/>
      <c r="M127" s="22"/>
      <c r="N127" s="22"/>
      <c r="O127" s="22"/>
      <c r="P127" s="22"/>
      <c r="Q127" s="22"/>
      <c r="R127" s="22"/>
      <c r="S127" s="22"/>
      <c r="T127" s="22"/>
      <c r="U127" s="18"/>
      <c r="V127" s="22"/>
      <c r="W127" s="22"/>
      <c r="X127" s="22"/>
      <c r="Y127" s="22"/>
      <c r="Z127" s="22"/>
      <c r="AA127" s="22"/>
      <c r="AB127" s="22"/>
      <c r="AC127" s="22"/>
      <c r="AD127" s="22"/>
      <c r="AE127" s="18"/>
    </row>
    <row r="128" spans="4:31" x14ac:dyDescent="0.2">
      <c r="D128" s="18"/>
      <c r="E128" s="18"/>
      <c r="F128" s="24"/>
      <c r="G128" s="25"/>
      <c r="H128" s="21"/>
      <c r="I128" s="22"/>
      <c r="J128" s="22"/>
      <c r="K128" s="22"/>
      <c r="L128" s="22"/>
      <c r="M128" s="22"/>
      <c r="N128" s="22"/>
      <c r="O128" s="22"/>
      <c r="P128" s="22"/>
      <c r="Q128" s="22"/>
      <c r="R128" s="22"/>
      <c r="S128" s="22"/>
      <c r="T128" s="22"/>
      <c r="U128" s="18"/>
      <c r="V128" s="22"/>
      <c r="W128" s="22"/>
      <c r="X128" s="22"/>
      <c r="Y128" s="22"/>
      <c r="Z128" s="22"/>
      <c r="AA128" s="22"/>
      <c r="AB128" s="22"/>
      <c r="AC128" s="22"/>
      <c r="AD128" s="22"/>
      <c r="AE128" s="18"/>
    </row>
    <row r="129" spans="4:31" x14ac:dyDescent="0.2">
      <c r="D129" s="18"/>
      <c r="E129" s="18"/>
      <c r="F129" s="24"/>
      <c r="G129" s="25"/>
      <c r="H129" s="21"/>
      <c r="I129" s="22"/>
      <c r="J129" s="22"/>
      <c r="K129" s="22"/>
      <c r="L129" s="22"/>
      <c r="M129" s="22"/>
      <c r="N129" s="22"/>
      <c r="O129" s="22"/>
      <c r="P129" s="22"/>
      <c r="Q129" s="22"/>
      <c r="R129" s="22"/>
      <c r="S129" s="22"/>
      <c r="T129" s="22"/>
      <c r="U129" s="18"/>
      <c r="V129" s="22"/>
      <c r="W129" s="22"/>
      <c r="X129" s="22"/>
      <c r="Y129" s="22"/>
      <c r="Z129" s="22"/>
      <c r="AA129" s="22"/>
      <c r="AB129" s="22"/>
      <c r="AC129" s="22"/>
      <c r="AD129" s="22"/>
      <c r="AE129" s="18"/>
    </row>
    <row r="130" spans="4:31" x14ac:dyDescent="0.2">
      <c r="D130" s="18"/>
      <c r="E130" s="18"/>
      <c r="F130" s="24"/>
      <c r="G130" s="25"/>
      <c r="H130" s="21"/>
      <c r="I130" s="22"/>
      <c r="J130" s="22"/>
      <c r="K130" s="22"/>
      <c r="L130" s="22"/>
      <c r="M130" s="22"/>
      <c r="N130" s="22"/>
      <c r="O130" s="22"/>
      <c r="P130" s="22"/>
      <c r="Q130" s="22"/>
      <c r="R130" s="22"/>
      <c r="S130" s="22"/>
      <c r="T130" s="22"/>
      <c r="U130" s="18"/>
      <c r="V130" s="22"/>
      <c r="W130" s="22"/>
      <c r="X130" s="22"/>
      <c r="Y130" s="22"/>
      <c r="Z130" s="22"/>
      <c r="AA130" s="22"/>
      <c r="AB130" s="22"/>
      <c r="AC130" s="22"/>
      <c r="AD130" s="22"/>
      <c r="AE130" s="18"/>
    </row>
    <row r="131" spans="4:31" x14ac:dyDescent="0.2">
      <c r="D131" s="18"/>
      <c r="E131" s="18"/>
      <c r="F131" s="24"/>
      <c r="G131" s="25"/>
      <c r="H131" s="21"/>
      <c r="I131" s="22"/>
      <c r="J131" s="22"/>
      <c r="K131" s="22"/>
      <c r="L131" s="22"/>
      <c r="M131" s="22"/>
      <c r="N131" s="22"/>
      <c r="O131" s="22"/>
      <c r="P131" s="22"/>
      <c r="Q131" s="22"/>
      <c r="R131" s="22"/>
      <c r="S131" s="22"/>
      <c r="T131" s="22"/>
      <c r="U131" s="18"/>
      <c r="V131" s="22"/>
      <c r="W131" s="22"/>
      <c r="X131" s="22"/>
      <c r="Y131" s="22"/>
      <c r="Z131" s="22"/>
      <c r="AA131" s="22"/>
      <c r="AB131" s="22"/>
      <c r="AC131" s="22"/>
      <c r="AD131" s="22"/>
      <c r="AE131" s="18"/>
    </row>
    <row r="132" spans="4:31" x14ac:dyDescent="0.2">
      <c r="D132" s="18"/>
      <c r="E132" s="18"/>
      <c r="F132" s="24"/>
      <c r="G132" s="25"/>
      <c r="H132" s="21"/>
      <c r="I132" s="22"/>
      <c r="J132" s="22"/>
      <c r="K132" s="22"/>
      <c r="L132" s="22"/>
      <c r="M132" s="22"/>
      <c r="N132" s="22"/>
      <c r="O132" s="22"/>
      <c r="P132" s="22"/>
      <c r="Q132" s="22"/>
      <c r="R132" s="22"/>
      <c r="S132" s="22"/>
      <c r="T132" s="22"/>
      <c r="U132" s="18"/>
      <c r="V132" s="22"/>
      <c r="W132" s="22"/>
      <c r="X132" s="22"/>
      <c r="Y132" s="22"/>
      <c r="Z132" s="22"/>
      <c r="AA132" s="22"/>
      <c r="AB132" s="22"/>
      <c r="AC132" s="22"/>
      <c r="AD132" s="22"/>
      <c r="AE132" s="18"/>
    </row>
    <row r="133" spans="4:31" x14ac:dyDescent="0.2">
      <c r="D133" s="18"/>
      <c r="E133" s="18"/>
      <c r="F133" s="24"/>
      <c r="G133" s="25"/>
      <c r="H133" s="21"/>
      <c r="I133" s="22"/>
      <c r="J133" s="22"/>
      <c r="K133" s="22"/>
      <c r="L133" s="22"/>
      <c r="M133" s="22"/>
      <c r="N133" s="22"/>
      <c r="O133" s="22"/>
      <c r="P133" s="22"/>
      <c r="Q133" s="22"/>
      <c r="R133" s="22"/>
      <c r="S133" s="22"/>
      <c r="T133" s="22"/>
      <c r="U133" s="18"/>
      <c r="V133" s="22"/>
      <c r="W133" s="22"/>
      <c r="X133" s="22"/>
      <c r="Y133" s="22"/>
      <c r="Z133" s="22"/>
      <c r="AA133" s="22"/>
      <c r="AB133" s="22"/>
      <c r="AC133" s="22"/>
      <c r="AD133" s="22"/>
      <c r="AE133" s="18"/>
    </row>
    <row r="134" spans="4:31" x14ac:dyDescent="0.2">
      <c r="D134" s="18"/>
      <c r="E134" s="18"/>
      <c r="F134" s="24"/>
      <c r="G134" s="25"/>
      <c r="H134" s="21"/>
      <c r="I134" s="22"/>
      <c r="J134" s="22"/>
      <c r="K134" s="22"/>
      <c r="L134" s="22"/>
      <c r="M134" s="22"/>
      <c r="N134" s="22"/>
      <c r="O134" s="22"/>
      <c r="P134" s="22"/>
      <c r="Q134" s="22"/>
      <c r="R134" s="22"/>
      <c r="S134" s="22"/>
      <c r="T134" s="22"/>
      <c r="U134" s="18"/>
      <c r="V134" s="22"/>
      <c r="W134" s="22"/>
      <c r="X134" s="22"/>
      <c r="Y134" s="22"/>
      <c r="Z134" s="22"/>
      <c r="AA134" s="22"/>
      <c r="AB134" s="22"/>
      <c r="AC134" s="22"/>
      <c r="AD134" s="22"/>
      <c r="AE134" s="18"/>
    </row>
    <row r="135" spans="4:31" x14ac:dyDescent="0.2">
      <c r="D135" s="18"/>
      <c r="E135" s="18"/>
      <c r="F135" s="24"/>
      <c r="G135" s="25"/>
      <c r="H135" s="21"/>
      <c r="I135" s="22"/>
      <c r="J135" s="22"/>
      <c r="K135" s="22"/>
      <c r="L135" s="22"/>
      <c r="M135" s="22"/>
      <c r="N135" s="22"/>
      <c r="O135" s="22"/>
      <c r="P135" s="22"/>
      <c r="Q135" s="22"/>
      <c r="R135" s="22"/>
      <c r="S135" s="22"/>
      <c r="T135" s="22"/>
      <c r="U135" s="18"/>
      <c r="V135" s="22"/>
      <c r="W135" s="22"/>
      <c r="X135" s="22"/>
      <c r="Y135" s="22"/>
      <c r="Z135" s="22"/>
      <c r="AA135" s="22"/>
      <c r="AB135" s="22"/>
      <c r="AC135" s="22"/>
      <c r="AD135" s="22"/>
      <c r="AE135" s="18"/>
    </row>
    <row r="136" spans="4:31" x14ac:dyDescent="0.2">
      <c r="D136" s="18"/>
      <c r="E136" s="18"/>
      <c r="F136" s="24"/>
      <c r="G136" s="25"/>
      <c r="H136" s="21"/>
      <c r="I136" s="22"/>
      <c r="J136" s="22"/>
      <c r="K136" s="22"/>
      <c r="L136" s="22"/>
      <c r="M136" s="22"/>
      <c r="N136" s="22"/>
      <c r="O136" s="22"/>
      <c r="P136" s="22"/>
      <c r="Q136" s="22"/>
      <c r="R136" s="22"/>
      <c r="S136" s="22"/>
      <c r="T136" s="22"/>
      <c r="U136" s="18"/>
      <c r="V136" s="22"/>
      <c r="W136" s="22"/>
      <c r="X136" s="22"/>
      <c r="Y136" s="22"/>
      <c r="Z136" s="22"/>
      <c r="AA136" s="22"/>
      <c r="AB136" s="22"/>
      <c r="AC136" s="22"/>
      <c r="AD136" s="22"/>
      <c r="AE136" s="18"/>
    </row>
    <row r="137" spans="4:31" x14ac:dyDescent="0.2">
      <c r="D137" s="18"/>
      <c r="E137" s="18"/>
      <c r="F137" s="24"/>
      <c r="G137" s="25"/>
      <c r="H137" s="21"/>
      <c r="I137" s="22"/>
      <c r="J137" s="22"/>
      <c r="K137" s="22"/>
      <c r="L137" s="22"/>
      <c r="M137" s="22"/>
      <c r="N137" s="22"/>
      <c r="O137" s="22"/>
      <c r="P137" s="22"/>
      <c r="Q137" s="22"/>
      <c r="R137" s="22"/>
      <c r="S137" s="22"/>
      <c r="T137" s="22"/>
      <c r="U137" s="18"/>
      <c r="V137" s="22"/>
      <c r="W137" s="22"/>
      <c r="X137" s="22"/>
      <c r="Y137" s="22"/>
      <c r="Z137" s="22"/>
      <c r="AA137" s="22"/>
      <c r="AB137" s="22"/>
      <c r="AC137" s="22"/>
      <c r="AD137" s="22"/>
      <c r="AE137" s="18"/>
    </row>
    <row r="138" spans="4:31" x14ac:dyDescent="0.2">
      <c r="D138" s="18"/>
      <c r="E138" s="18"/>
      <c r="F138" s="24"/>
      <c r="G138" s="25"/>
      <c r="H138" s="21"/>
      <c r="I138" s="22"/>
      <c r="J138" s="22"/>
      <c r="K138" s="22"/>
      <c r="L138" s="22"/>
      <c r="M138" s="22"/>
      <c r="N138" s="22"/>
      <c r="O138" s="22"/>
      <c r="P138" s="22"/>
      <c r="Q138" s="22"/>
      <c r="R138" s="22"/>
      <c r="S138" s="22"/>
      <c r="T138" s="22"/>
      <c r="U138" s="18"/>
      <c r="V138" s="22"/>
      <c r="W138" s="22"/>
      <c r="X138" s="22"/>
      <c r="Y138" s="22"/>
      <c r="Z138" s="22"/>
      <c r="AA138" s="22"/>
      <c r="AB138" s="22"/>
      <c r="AC138" s="22"/>
      <c r="AD138" s="22"/>
      <c r="AE138" s="18"/>
    </row>
    <row r="139" spans="4:31" x14ac:dyDescent="0.2">
      <c r="D139" s="18"/>
      <c r="E139" s="18"/>
      <c r="F139" s="24"/>
      <c r="G139" s="25"/>
      <c r="H139" s="21"/>
      <c r="I139" s="22"/>
      <c r="J139" s="22"/>
      <c r="K139" s="22"/>
      <c r="L139" s="22"/>
      <c r="M139" s="22"/>
      <c r="N139" s="22"/>
      <c r="O139" s="22"/>
      <c r="P139" s="22"/>
      <c r="Q139" s="22"/>
      <c r="R139" s="22"/>
      <c r="S139" s="22"/>
      <c r="T139" s="22"/>
      <c r="U139" s="18"/>
      <c r="V139" s="22"/>
      <c r="W139" s="22"/>
      <c r="X139" s="22"/>
      <c r="Y139" s="22"/>
      <c r="Z139" s="22"/>
      <c r="AA139" s="22"/>
      <c r="AB139" s="22"/>
      <c r="AC139" s="22"/>
      <c r="AD139" s="22"/>
      <c r="AE139" s="18"/>
    </row>
    <row r="140" spans="4:31" x14ac:dyDescent="0.2">
      <c r="D140" s="18"/>
      <c r="E140" s="18"/>
      <c r="F140" s="24"/>
      <c r="G140" s="25"/>
      <c r="H140" s="21"/>
      <c r="I140" s="22"/>
      <c r="J140" s="22"/>
      <c r="K140" s="22"/>
      <c r="L140" s="22"/>
      <c r="M140" s="22"/>
      <c r="N140" s="22"/>
      <c r="O140" s="22"/>
      <c r="P140" s="22"/>
      <c r="Q140" s="22"/>
      <c r="R140" s="22"/>
      <c r="S140" s="22"/>
      <c r="T140" s="22"/>
      <c r="U140" s="18"/>
      <c r="V140" s="22"/>
      <c r="W140" s="22"/>
      <c r="X140" s="22"/>
      <c r="Y140" s="22"/>
      <c r="Z140" s="22"/>
      <c r="AA140" s="22"/>
      <c r="AB140" s="22"/>
      <c r="AC140" s="22"/>
      <c r="AD140" s="22"/>
      <c r="AE140" s="18"/>
    </row>
    <row r="141" spans="4:31" x14ac:dyDescent="0.2">
      <c r="D141" s="18"/>
      <c r="E141" s="18"/>
      <c r="F141" s="24"/>
      <c r="G141" s="25"/>
      <c r="H141" s="21"/>
      <c r="I141" s="22"/>
      <c r="J141" s="22"/>
      <c r="K141" s="22"/>
      <c r="L141" s="22"/>
      <c r="M141" s="22"/>
      <c r="N141" s="22"/>
      <c r="O141" s="22"/>
      <c r="P141" s="22"/>
      <c r="Q141" s="22"/>
      <c r="R141" s="22"/>
      <c r="S141" s="22"/>
      <c r="T141" s="22"/>
      <c r="U141" s="18"/>
      <c r="V141" s="22"/>
      <c r="W141" s="22"/>
      <c r="X141" s="22"/>
      <c r="Y141" s="22"/>
      <c r="Z141" s="22"/>
      <c r="AA141" s="22"/>
      <c r="AB141" s="22"/>
      <c r="AC141" s="22"/>
      <c r="AD141" s="22"/>
      <c r="AE141" s="18"/>
    </row>
    <row r="142" spans="4:31" x14ac:dyDescent="0.2">
      <c r="D142" s="18"/>
      <c r="E142" s="18"/>
      <c r="F142" s="24"/>
      <c r="G142" s="25"/>
      <c r="H142" s="21"/>
      <c r="I142" s="22"/>
      <c r="J142" s="22"/>
      <c r="K142" s="22"/>
      <c r="L142" s="22"/>
      <c r="M142" s="22"/>
      <c r="N142" s="22"/>
      <c r="O142" s="22"/>
      <c r="P142" s="22"/>
      <c r="Q142" s="22"/>
      <c r="R142" s="22"/>
      <c r="S142" s="22"/>
      <c r="T142" s="22"/>
      <c r="U142" s="18"/>
      <c r="V142" s="22"/>
      <c r="W142" s="22"/>
      <c r="X142" s="22"/>
      <c r="Y142" s="22"/>
      <c r="Z142" s="22"/>
      <c r="AA142" s="22"/>
      <c r="AB142" s="22"/>
      <c r="AC142" s="22"/>
      <c r="AD142" s="22"/>
      <c r="AE142" s="18"/>
    </row>
    <row r="143" spans="4:31" x14ac:dyDescent="0.2">
      <c r="D143" s="18"/>
      <c r="E143" s="18"/>
      <c r="F143" s="24"/>
      <c r="G143" s="25"/>
      <c r="H143" s="21"/>
      <c r="I143" s="22"/>
      <c r="J143" s="22"/>
      <c r="K143" s="22"/>
      <c r="L143" s="22"/>
      <c r="M143" s="22"/>
      <c r="N143" s="22"/>
      <c r="O143" s="22"/>
      <c r="P143" s="22"/>
      <c r="Q143" s="22"/>
      <c r="R143" s="22"/>
      <c r="S143" s="22"/>
      <c r="T143" s="22"/>
      <c r="U143" s="18"/>
      <c r="V143" s="22"/>
      <c r="W143" s="22"/>
      <c r="X143" s="22"/>
      <c r="Y143" s="22"/>
      <c r="Z143" s="22"/>
      <c r="AA143" s="22"/>
      <c r="AB143" s="22"/>
      <c r="AC143" s="22"/>
      <c r="AD143" s="22"/>
      <c r="AE143" s="18"/>
    </row>
    <row r="144" spans="4:31" x14ac:dyDescent="0.2">
      <c r="D144" s="18"/>
      <c r="E144" s="18"/>
      <c r="F144" s="24"/>
      <c r="G144" s="25"/>
      <c r="H144" s="21"/>
      <c r="I144" s="22"/>
      <c r="J144" s="22"/>
      <c r="K144" s="22"/>
      <c r="L144" s="22"/>
      <c r="M144" s="22"/>
      <c r="N144" s="22"/>
      <c r="O144" s="22"/>
      <c r="P144" s="22"/>
      <c r="Q144" s="22"/>
      <c r="R144" s="22"/>
      <c r="S144" s="22"/>
      <c r="T144" s="22"/>
      <c r="U144" s="18"/>
      <c r="V144" s="22"/>
      <c r="W144" s="22"/>
      <c r="X144" s="22"/>
      <c r="Y144" s="22"/>
      <c r="Z144" s="22"/>
      <c r="AA144" s="22"/>
      <c r="AB144" s="22"/>
      <c r="AC144" s="22"/>
      <c r="AD144" s="22"/>
      <c r="AE144" s="18"/>
    </row>
    <row r="145" spans="4:31" x14ac:dyDescent="0.2">
      <c r="D145" s="18"/>
      <c r="E145" s="18"/>
      <c r="F145" s="24"/>
      <c r="G145" s="25"/>
      <c r="H145" s="21"/>
      <c r="I145" s="22"/>
      <c r="J145" s="22"/>
      <c r="K145" s="22"/>
      <c r="L145" s="22"/>
      <c r="M145" s="22"/>
      <c r="N145" s="22"/>
      <c r="O145" s="22"/>
      <c r="P145" s="22"/>
      <c r="Q145" s="22"/>
      <c r="R145" s="22"/>
      <c r="S145" s="22"/>
      <c r="T145" s="22"/>
      <c r="U145" s="18"/>
      <c r="V145" s="22"/>
      <c r="W145" s="22"/>
      <c r="X145" s="22"/>
      <c r="Y145" s="22"/>
      <c r="Z145" s="22"/>
      <c r="AA145" s="22"/>
      <c r="AB145" s="22"/>
      <c r="AC145" s="22"/>
      <c r="AD145" s="22"/>
      <c r="AE145" s="18"/>
    </row>
    <row r="146" spans="4:31" x14ac:dyDescent="0.2">
      <c r="D146" s="18"/>
      <c r="E146" s="18"/>
      <c r="F146" s="24"/>
      <c r="G146" s="25"/>
      <c r="H146" s="21"/>
      <c r="I146" s="22"/>
      <c r="J146" s="22"/>
      <c r="K146" s="22"/>
      <c r="L146" s="22"/>
      <c r="M146" s="22"/>
      <c r="N146" s="22"/>
      <c r="O146" s="22"/>
      <c r="P146" s="22"/>
      <c r="Q146" s="22"/>
      <c r="R146" s="22"/>
      <c r="S146" s="22"/>
      <c r="T146" s="22"/>
      <c r="U146" s="18"/>
      <c r="V146" s="22"/>
      <c r="W146" s="22"/>
      <c r="X146" s="22"/>
      <c r="Y146" s="22"/>
      <c r="Z146" s="22"/>
      <c r="AA146" s="22"/>
      <c r="AB146" s="22"/>
      <c r="AC146" s="22"/>
      <c r="AD146" s="22"/>
      <c r="AE146" s="18"/>
    </row>
    <row r="147" spans="4:31" x14ac:dyDescent="0.2">
      <c r="D147" s="18"/>
      <c r="E147" s="18"/>
      <c r="F147" s="24"/>
      <c r="G147" s="25"/>
      <c r="H147" s="21"/>
      <c r="I147" s="22"/>
      <c r="J147" s="22"/>
      <c r="K147" s="22"/>
      <c r="L147" s="22"/>
      <c r="M147" s="22"/>
      <c r="N147" s="22"/>
      <c r="O147" s="22"/>
      <c r="P147" s="22"/>
      <c r="Q147" s="22"/>
      <c r="R147" s="22"/>
      <c r="S147" s="22"/>
      <c r="T147" s="22"/>
      <c r="U147" s="18"/>
      <c r="V147" s="22"/>
      <c r="W147" s="22"/>
      <c r="X147" s="22"/>
      <c r="Y147" s="22"/>
      <c r="Z147" s="22"/>
      <c r="AA147" s="22"/>
      <c r="AB147" s="22"/>
      <c r="AC147" s="22"/>
      <c r="AD147" s="22"/>
      <c r="AE147" s="18"/>
    </row>
    <row r="148" spans="4:31" x14ac:dyDescent="0.2">
      <c r="D148" s="18"/>
      <c r="E148" s="18"/>
      <c r="F148" s="24"/>
      <c r="G148" s="25"/>
      <c r="H148" s="21"/>
      <c r="I148" s="22"/>
      <c r="J148" s="22"/>
      <c r="K148" s="22"/>
      <c r="L148" s="22"/>
      <c r="M148" s="22"/>
      <c r="N148" s="22"/>
      <c r="O148" s="22"/>
      <c r="P148" s="22"/>
      <c r="Q148" s="22"/>
      <c r="R148" s="22"/>
      <c r="S148" s="22"/>
      <c r="T148" s="22"/>
      <c r="U148" s="18"/>
      <c r="V148" s="22"/>
      <c r="W148" s="22"/>
      <c r="X148" s="22"/>
      <c r="Y148" s="22"/>
      <c r="Z148" s="22"/>
      <c r="AA148" s="22"/>
      <c r="AB148" s="22"/>
      <c r="AC148" s="22"/>
      <c r="AD148" s="22"/>
      <c r="AE148" s="18"/>
    </row>
    <row r="149" spans="4:31" x14ac:dyDescent="0.2">
      <c r="D149" s="18"/>
      <c r="E149" s="18"/>
      <c r="F149" s="24"/>
      <c r="G149" s="25"/>
      <c r="H149" s="21"/>
      <c r="I149" s="22"/>
      <c r="J149" s="22"/>
      <c r="K149" s="22"/>
      <c r="L149" s="22"/>
      <c r="M149" s="22"/>
      <c r="N149" s="22"/>
      <c r="O149" s="22"/>
      <c r="P149" s="22"/>
      <c r="Q149" s="22"/>
      <c r="R149" s="22"/>
      <c r="S149" s="22"/>
      <c r="T149" s="22"/>
      <c r="U149" s="18"/>
      <c r="V149" s="22"/>
      <c r="W149" s="22"/>
      <c r="X149" s="22"/>
      <c r="Y149" s="22"/>
      <c r="Z149" s="22"/>
      <c r="AA149" s="22"/>
      <c r="AB149" s="22"/>
      <c r="AC149" s="22"/>
      <c r="AD149" s="22"/>
      <c r="AE149" s="18"/>
    </row>
    <row r="150" spans="4:31" x14ac:dyDescent="0.2">
      <c r="D150" s="18"/>
      <c r="E150" s="18"/>
      <c r="F150" s="24"/>
      <c r="G150" s="25"/>
      <c r="H150" s="21"/>
      <c r="I150" s="22"/>
      <c r="J150" s="22"/>
      <c r="K150" s="22"/>
      <c r="L150" s="22"/>
      <c r="M150" s="22"/>
      <c r="N150" s="22"/>
      <c r="O150" s="22"/>
      <c r="P150" s="22"/>
      <c r="Q150" s="22"/>
      <c r="R150" s="22"/>
      <c r="S150" s="22"/>
      <c r="T150" s="22"/>
      <c r="U150" s="18"/>
      <c r="V150" s="22"/>
      <c r="W150" s="22"/>
      <c r="X150" s="22"/>
      <c r="Y150" s="22"/>
      <c r="Z150" s="22"/>
      <c r="AA150" s="22"/>
      <c r="AB150" s="22"/>
      <c r="AC150" s="22"/>
      <c r="AD150" s="22"/>
      <c r="AE150" s="18"/>
    </row>
    <row r="151" spans="4:31" x14ac:dyDescent="0.2">
      <c r="D151" s="18"/>
      <c r="E151" s="18"/>
      <c r="F151" s="24"/>
      <c r="G151" s="25"/>
      <c r="H151" s="21"/>
      <c r="I151" s="22"/>
      <c r="J151" s="22"/>
      <c r="K151" s="22"/>
      <c r="L151" s="22"/>
      <c r="M151" s="22"/>
      <c r="N151" s="22"/>
      <c r="O151" s="22"/>
      <c r="P151" s="22"/>
      <c r="Q151" s="22"/>
      <c r="R151" s="22"/>
      <c r="S151" s="22"/>
      <c r="T151" s="22"/>
      <c r="U151" s="18"/>
      <c r="V151" s="22"/>
      <c r="W151" s="22"/>
      <c r="X151" s="22"/>
      <c r="Y151" s="22"/>
      <c r="Z151" s="22"/>
      <c r="AA151" s="22"/>
      <c r="AB151" s="22"/>
      <c r="AC151" s="22"/>
      <c r="AD151" s="22"/>
      <c r="AE151" s="18"/>
    </row>
    <row r="152" spans="4:31" x14ac:dyDescent="0.2">
      <c r="D152" s="18"/>
      <c r="E152" s="18"/>
      <c r="F152" s="24"/>
      <c r="G152" s="25"/>
      <c r="H152" s="21"/>
      <c r="I152" s="22"/>
      <c r="J152" s="22"/>
      <c r="K152" s="22"/>
      <c r="L152" s="22"/>
      <c r="M152" s="22"/>
      <c r="N152" s="22"/>
      <c r="O152" s="22"/>
      <c r="P152" s="22"/>
      <c r="Q152" s="22"/>
      <c r="R152" s="22"/>
      <c r="S152" s="22"/>
      <c r="T152" s="22"/>
      <c r="U152" s="18"/>
      <c r="V152" s="22"/>
      <c r="W152" s="22"/>
      <c r="X152" s="22"/>
      <c r="Y152" s="22"/>
      <c r="Z152" s="22"/>
      <c r="AA152" s="22"/>
      <c r="AB152" s="22"/>
      <c r="AC152" s="22"/>
      <c r="AD152" s="22"/>
      <c r="AE152" s="18"/>
    </row>
    <row r="153" spans="4:31" x14ac:dyDescent="0.2">
      <c r="D153" s="18"/>
      <c r="E153" s="18"/>
      <c r="F153" s="24"/>
      <c r="G153" s="25"/>
      <c r="H153" s="21"/>
      <c r="I153" s="22"/>
      <c r="J153" s="22"/>
      <c r="K153" s="22"/>
      <c r="L153" s="22"/>
      <c r="M153" s="22"/>
      <c r="N153" s="22"/>
      <c r="O153" s="22"/>
      <c r="P153" s="22"/>
      <c r="Q153" s="22"/>
      <c r="R153" s="22"/>
      <c r="S153" s="22"/>
      <c r="T153" s="22"/>
      <c r="U153" s="18"/>
      <c r="V153" s="22"/>
      <c r="W153" s="22"/>
      <c r="X153" s="22"/>
      <c r="Y153" s="22"/>
      <c r="Z153" s="22"/>
      <c r="AA153" s="22"/>
      <c r="AB153" s="22"/>
      <c r="AC153" s="22"/>
      <c r="AD153" s="22"/>
      <c r="AE153" s="18"/>
    </row>
    <row r="154" spans="4:31" x14ac:dyDescent="0.2">
      <c r="D154" s="18"/>
      <c r="E154" s="18"/>
      <c r="F154" s="24"/>
      <c r="G154" s="25"/>
      <c r="H154" s="21"/>
      <c r="I154" s="22"/>
      <c r="J154" s="22"/>
      <c r="K154" s="22"/>
      <c r="L154" s="22"/>
      <c r="M154" s="22"/>
      <c r="N154" s="22"/>
      <c r="O154" s="22"/>
      <c r="P154" s="22"/>
      <c r="Q154" s="22"/>
      <c r="R154" s="22"/>
      <c r="S154" s="22"/>
      <c r="T154" s="22"/>
      <c r="U154" s="18"/>
      <c r="V154" s="22"/>
      <c r="W154" s="22"/>
      <c r="X154" s="22"/>
      <c r="Y154" s="22"/>
      <c r="Z154" s="22"/>
      <c r="AA154" s="22"/>
      <c r="AB154" s="22"/>
      <c r="AC154" s="22"/>
      <c r="AD154" s="22"/>
      <c r="AE154" s="18"/>
    </row>
    <row r="155" spans="4:31" x14ac:dyDescent="0.2">
      <c r="D155" s="18"/>
      <c r="E155" s="18"/>
      <c r="F155" s="24"/>
      <c r="G155" s="25"/>
      <c r="H155" s="21"/>
      <c r="I155" s="22"/>
      <c r="J155" s="22"/>
      <c r="K155" s="22"/>
      <c r="L155" s="22"/>
      <c r="M155" s="22"/>
      <c r="N155" s="22"/>
      <c r="O155" s="22"/>
      <c r="P155" s="22"/>
      <c r="Q155" s="22"/>
      <c r="R155" s="22"/>
      <c r="S155" s="22"/>
      <c r="T155" s="22"/>
      <c r="U155" s="18"/>
      <c r="V155" s="22"/>
      <c r="W155" s="22"/>
      <c r="X155" s="22"/>
      <c r="Y155" s="22"/>
      <c r="Z155" s="22"/>
      <c r="AA155" s="22"/>
      <c r="AB155" s="22"/>
      <c r="AC155" s="22"/>
      <c r="AD155" s="22"/>
      <c r="AE155" s="18"/>
    </row>
    <row r="156" spans="4:31" x14ac:dyDescent="0.2">
      <c r="D156" s="18"/>
      <c r="E156" s="18"/>
      <c r="F156" s="24"/>
      <c r="G156" s="25"/>
      <c r="H156" s="21"/>
      <c r="I156" s="22"/>
      <c r="J156" s="22"/>
      <c r="K156" s="22"/>
      <c r="L156" s="22"/>
      <c r="M156" s="22"/>
      <c r="N156" s="22"/>
      <c r="O156" s="22"/>
      <c r="P156" s="22"/>
      <c r="Q156" s="22"/>
      <c r="R156" s="22"/>
      <c r="S156" s="22"/>
      <c r="T156" s="22"/>
      <c r="U156" s="18"/>
      <c r="V156" s="22"/>
      <c r="W156" s="22"/>
      <c r="X156" s="22"/>
      <c r="Y156" s="22"/>
      <c r="Z156" s="22"/>
      <c r="AA156" s="22"/>
      <c r="AB156" s="22"/>
      <c r="AC156" s="22"/>
      <c r="AD156" s="22"/>
      <c r="AE156" s="18"/>
    </row>
    <row r="157" spans="4:31" x14ac:dyDescent="0.2">
      <c r="D157" s="18"/>
      <c r="E157" s="18"/>
      <c r="F157" s="24"/>
      <c r="G157" s="25"/>
      <c r="H157" s="21"/>
      <c r="I157" s="22"/>
      <c r="J157" s="22"/>
      <c r="K157" s="22"/>
      <c r="L157" s="22"/>
      <c r="M157" s="22"/>
      <c r="N157" s="22"/>
      <c r="O157" s="22"/>
      <c r="P157" s="22"/>
      <c r="Q157" s="22"/>
      <c r="R157" s="22"/>
      <c r="S157" s="22"/>
      <c r="T157" s="22"/>
      <c r="U157" s="18"/>
      <c r="V157" s="22"/>
      <c r="W157" s="22"/>
      <c r="X157" s="22"/>
      <c r="Y157" s="22"/>
      <c r="Z157" s="22"/>
      <c r="AA157" s="22"/>
      <c r="AB157" s="22"/>
      <c r="AC157" s="22"/>
      <c r="AD157" s="22"/>
      <c r="AE157" s="18"/>
    </row>
    <row r="158" spans="4:31" x14ac:dyDescent="0.2">
      <c r="D158" s="18"/>
      <c r="E158" s="18"/>
      <c r="F158" s="24"/>
      <c r="G158" s="25"/>
      <c r="H158" s="21"/>
      <c r="I158" s="22"/>
      <c r="J158" s="22"/>
      <c r="K158" s="22"/>
      <c r="L158" s="22"/>
      <c r="M158" s="22"/>
      <c r="N158" s="22"/>
      <c r="O158" s="22"/>
      <c r="P158" s="22"/>
      <c r="Q158" s="22"/>
      <c r="R158" s="22"/>
      <c r="S158" s="22"/>
      <c r="T158" s="22"/>
      <c r="U158" s="18"/>
      <c r="V158" s="22"/>
      <c r="W158" s="22"/>
      <c r="X158" s="22"/>
      <c r="Y158" s="22"/>
      <c r="Z158" s="22"/>
      <c r="AA158" s="22"/>
      <c r="AB158" s="22"/>
      <c r="AC158" s="22"/>
      <c r="AD158" s="22"/>
      <c r="AE158" s="18"/>
    </row>
    <row r="159" spans="4:31" x14ac:dyDescent="0.2">
      <c r="D159" s="18"/>
      <c r="E159" s="18"/>
      <c r="F159" s="24"/>
      <c r="G159" s="25"/>
      <c r="H159" s="21"/>
      <c r="I159" s="22"/>
      <c r="J159" s="22"/>
      <c r="K159" s="22"/>
      <c r="L159" s="22"/>
      <c r="M159" s="22"/>
      <c r="N159" s="22"/>
      <c r="O159" s="22"/>
      <c r="P159" s="22"/>
      <c r="Q159" s="22"/>
      <c r="R159" s="22"/>
      <c r="S159" s="22"/>
      <c r="T159" s="22"/>
      <c r="U159" s="18"/>
      <c r="V159" s="22"/>
      <c r="W159" s="22"/>
      <c r="X159" s="22"/>
      <c r="Y159" s="22"/>
      <c r="Z159" s="22"/>
      <c r="AA159" s="22"/>
      <c r="AB159" s="22"/>
      <c r="AC159" s="22"/>
      <c r="AD159" s="22"/>
      <c r="AE159" s="18"/>
    </row>
    <row r="160" spans="4:31" x14ac:dyDescent="0.2">
      <c r="D160" s="18"/>
      <c r="E160" s="18"/>
      <c r="F160" s="24"/>
      <c r="G160" s="25"/>
      <c r="H160" s="21"/>
      <c r="I160" s="22"/>
      <c r="J160" s="22"/>
      <c r="K160" s="22"/>
      <c r="L160" s="22"/>
      <c r="M160" s="22"/>
      <c r="N160" s="22"/>
      <c r="O160" s="22"/>
      <c r="P160" s="22"/>
      <c r="Q160" s="22"/>
      <c r="R160" s="22"/>
      <c r="S160" s="22"/>
      <c r="T160" s="22"/>
      <c r="U160" s="18"/>
      <c r="V160" s="22"/>
      <c r="W160" s="22"/>
      <c r="X160" s="22"/>
      <c r="Y160" s="22"/>
      <c r="Z160" s="22"/>
      <c r="AA160" s="22"/>
      <c r="AB160" s="22"/>
      <c r="AC160" s="22"/>
      <c r="AD160" s="22"/>
      <c r="AE160" s="18"/>
    </row>
    <row r="161" spans="4:31" x14ac:dyDescent="0.2">
      <c r="D161" s="18"/>
      <c r="E161" s="18"/>
      <c r="F161" s="24"/>
      <c r="G161" s="25"/>
      <c r="H161" s="21"/>
      <c r="I161" s="22"/>
      <c r="J161" s="22"/>
      <c r="K161" s="22"/>
      <c r="L161" s="22"/>
      <c r="M161" s="22"/>
      <c r="N161" s="22"/>
      <c r="O161" s="22"/>
      <c r="P161" s="22"/>
      <c r="Q161" s="22"/>
      <c r="R161" s="22"/>
      <c r="S161" s="22"/>
      <c r="T161" s="22"/>
      <c r="U161" s="18"/>
      <c r="V161" s="22"/>
      <c r="W161" s="22"/>
      <c r="X161" s="22"/>
      <c r="Y161" s="22"/>
      <c r="Z161" s="22"/>
      <c r="AA161" s="22"/>
      <c r="AB161" s="22"/>
      <c r="AC161" s="22"/>
      <c r="AD161" s="22"/>
      <c r="AE161" s="18"/>
    </row>
    <row r="162" spans="4:31" x14ac:dyDescent="0.2">
      <c r="D162" s="18"/>
      <c r="E162" s="18"/>
      <c r="F162" s="24"/>
      <c r="G162" s="25"/>
      <c r="H162" s="21"/>
      <c r="I162" s="22"/>
      <c r="J162" s="22"/>
      <c r="K162" s="22"/>
      <c r="L162" s="22"/>
      <c r="M162" s="22"/>
      <c r="N162" s="22"/>
      <c r="O162" s="22"/>
      <c r="P162" s="22"/>
      <c r="Q162" s="22"/>
      <c r="R162" s="22"/>
      <c r="S162" s="22"/>
      <c r="T162" s="22"/>
      <c r="U162" s="18"/>
      <c r="V162" s="22"/>
      <c r="W162" s="22"/>
      <c r="X162" s="22"/>
      <c r="Y162" s="22"/>
      <c r="Z162" s="22"/>
      <c r="AA162" s="22"/>
      <c r="AB162" s="22"/>
      <c r="AC162" s="22"/>
      <c r="AD162" s="22"/>
      <c r="AE162" s="18"/>
    </row>
    <row r="163" spans="4:31" x14ac:dyDescent="0.2">
      <c r="D163" s="18"/>
      <c r="E163" s="18"/>
      <c r="F163" s="24"/>
      <c r="G163" s="25"/>
      <c r="H163" s="21"/>
      <c r="I163" s="22"/>
      <c r="J163" s="22"/>
      <c r="K163" s="22"/>
      <c r="L163" s="22"/>
      <c r="M163" s="22"/>
      <c r="N163" s="22"/>
      <c r="O163" s="22"/>
      <c r="P163" s="22"/>
      <c r="Q163" s="22"/>
      <c r="R163" s="22"/>
      <c r="S163" s="22"/>
      <c r="T163" s="22"/>
      <c r="U163" s="18"/>
      <c r="V163" s="22"/>
      <c r="W163" s="22"/>
      <c r="X163" s="22"/>
      <c r="Y163" s="22"/>
      <c r="Z163" s="22"/>
      <c r="AA163" s="22"/>
      <c r="AB163" s="22"/>
      <c r="AC163" s="22"/>
      <c r="AD163" s="22"/>
      <c r="AE163" s="18"/>
    </row>
    <row r="164" spans="4:31" x14ac:dyDescent="0.2">
      <c r="D164" s="18"/>
      <c r="E164" s="18"/>
      <c r="F164" s="24"/>
      <c r="G164" s="25"/>
      <c r="H164" s="21"/>
      <c r="I164" s="22"/>
      <c r="J164" s="22"/>
      <c r="K164" s="22"/>
      <c r="L164" s="22"/>
      <c r="M164" s="22"/>
      <c r="N164" s="22"/>
      <c r="O164" s="22"/>
      <c r="P164" s="22"/>
      <c r="Q164" s="22"/>
      <c r="R164" s="22"/>
      <c r="S164" s="22"/>
      <c r="T164" s="22"/>
      <c r="U164" s="18"/>
      <c r="V164" s="22"/>
      <c r="W164" s="22"/>
      <c r="X164" s="22"/>
      <c r="Y164" s="22"/>
      <c r="Z164" s="22"/>
      <c r="AA164" s="22"/>
      <c r="AB164" s="22"/>
      <c r="AC164" s="22"/>
      <c r="AD164" s="22"/>
      <c r="AE164" s="18"/>
    </row>
    <row r="165" spans="4:31" x14ac:dyDescent="0.2">
      <c r="D165" s="18"/>
      <c r="E165" s="18"/>
      <c r="F165" s="24"/>
      <c r="G165" s="25"/>
      <c r="H165" s="21"/>
      <c r="I165" s="22"/>
      <c r="J165" s="22"/>
      <c r="K165" s="22"/>
      <c r="L165" s="22"/>
      <c r="M165" s="22"/>
      <c r="N165" s="22"/>
      <c r="O165" s="22"/>
      <c r="P165" s="22"/>
      <c r="Q165" s="22"/>
      <c r="R165" s="22"/>
      <c r="S165" s="22"/>
      <c r="T165" s="22"/>
      <c r="U165" s="18"/>
      <c r="V165" s="22"/>
      <c r="W165" s="22"/>
      <c r="X165" s="22"/>
      <c r="Y165" s="22"/>
      <c r="Z165" s="22"/>
      <c r="AA165" s="22"/>
      <c r="AB165" s="22"/>
      <c r="AC165" s="22"/>
      <c r="AD165" s="22"/>
      <c r="AE165" s="18"/>
    </row>
    <row r="166" spans="4:31" x14ac:dyDescent="0.2">
      <c r="D166" s="18"/>
      <c r="E166" s="18"/>
      <c r="F166" s="24"/>
      <c r="G166" s="25"/>
      <c r="H166" s="21"/>
      <c r="I166" s="22"/>
      <c r="J166" s="22"/>
      <c r="K166" s="22"/>
      <c r="L166" s="22"/>
      <c r="M166" s="22"/>
      <c r="N166" s="22"/>
      <c r="O166" s="22"/>
      <c r="P166" s="22"/>
      <c r="Q166" s="22"/>
      <c r="R166" s="22"/>
      <c r="S166" s="22"/>
      <c r="T166" s="22"/>
      <c r="U166" s="18"/>
      <c r="V166" s="22"/>
      <c r="W166" s="22"/>
      <c r="X166" s="22"/>
      <c r="Y166" s="22"/>
      <c r="Z166" s="22"/>
      <c r="AA166" s="22"/>
      <c r="AB166" s="22"/>
      <c r="AC166" s="22"/>
      <c r="AD166" s="22"/>
      <c r="AE166" s="18"/>
    </row>
    <row r="167" spans="4:31" x14ac:dyDescent="0.2">
      <c r="D167" s="18"/>
      <c r="E167" s="18"/>
      <c r="F167" s="24"/>
      <c r="G167" s="25"/>
      <c r="H167" s="21"/>
      <c r="I167" s="22"/>
      <c r="J167" s="22"/>
      <c r="K167" s="22"/>
      <c r="L167" s="22"/>
      <c r="M167" s="22"/>
      <c r="N167" s="22"/>
      <c r="O167" s="22"/>
      <c r="P167" s="22"/>
      <c r="Q167" s="22"/>
      <c r="R167" s="22"/>
      <c r="S167" s="22"/>
      <c r="T167" s="22"/>
      <c r="U167" s="18"/>
      <c r="V167" s="22"/>
      <c r="W167" s="22"/>
      <c r="X167" s="22"/>
      <c r="Y167" s="22"/>
      <c r="Z167" s="22"/>
      <c r="AA167" s="22"/>
      <c r="AB167" s="22"/>
      <c r="AC167" s="22"/>
      <c r="AD167" s="22"/>
      <c r="AE167" s="18"/>
    </row>
    <row r="168" spans="4:31" x14ac:dyDescent="0.2">
      <c r="D168" s="18"/>
      <c r="E168" s="18"/>
      <c r="F168" s="24"/>
      <c r="G168" s="25"/>
      <c r="H168" s="21"/>
      <c r="I168" s="22"/>
      <c r="J168" s="22"/>
      <c r="K168" s="22"/>
      <c r="L168" s="22"/>
      <c r="M168" s="22"/>
      <c r="N168" s="22"/>
      <c r="O168" s="22"/>
      <c r="P168" s="22"/>
      <c r="Q168" s="22"/>
      <c r="R168" s="22"/>
      <c r="S168" s="22"/>
      <c r="T168" s="22"/>
      <c r="U168" s="18"/>
      <c r="V168" s="22"/>
      <c r="W168" s="22"/>
      <c r="X168" s="22"/>
      <c r="Y168" s="22"/>
      <c r="Z168" s="22"/>
      <c r="AA168" s="22"/>
      <c r="AB168" s="22"/>
      <c r="AC168" s="22"/>
      <c r="AD168" s="22"/>
      <c r="AE168" s="18"/>
    </row>
    <row r="169" spans="4:31" x14ac:dyDescent="0.2">
      <c r="D169" s="18"/>
      <c r="E169" s="18"/>
      <c r="F169" s="24"/>
      <c r="G169" s="25"/>
      <c r="H169" s="21"/>
      <c r="I169" s="22"/>
      <c r="J169" s="22"/>
      <c r="K169" s="22"/>
      <c r="L169" s="22"/>
      <c r="M169" s="22"/>
      <c r="N169" s="22"/>
      <c r="O169" s="22"/>
      <c r="P169" s="22"/>
      <c r="Q169" s="22"/>
      <c r="R169" s="22"/>
      <c r="S169" s="22"/>
      <c r="T169" s="22"/>
      <c r="U169" s="18"/>
      <c r="V169" s="22"/>
      <c r="W169" s="22"/>
      <c r="X169" s="22"/>
      <c r="Y169" s="22"/>
      <c r="Z169" s="22"/>
      <c r="AA169" s="22"/>
      <c r="AB169" s="22"/>
      <c r="AC169" s="22"/>
      <c r="AD169" s="22"/>
      <c r="AE169" s="18"/>
    </row>
    <row r="170" spans="4:31" x14ac:dyDescent="0.2">
      <c r="D170" s="18"/>
      <c r="E170" s="18"/>
      <c r="F170" s="24"/>
      <c r="G170" s="25"/>
      <c r="H170" s="21"/>
      <c r="I170" s="22"/>
      <c r="J170" s="22"/>
      <c r="K170" s="22"/>
      <c r="L170" s="22"/>
      <c r="M170" s="22"/>
      <c r="N170" s="22"/>
      <c r="O170" s="22"/>
      <c r="P170" s="22"/>
      <c r="Q170" s="22"/>
      <c r="R170" s="22"/>
      <c r="S170" s="22"/>
      <c r="T170" s="22"/>
      <c r="U170" s="18"/>
      <c r="V170" s="22"/>
      <c r="W170" s="22"/>
      <c r="X170" s="22"/>
      <c r="Y170" s="22"/>
      <c r="Z170" s="22"/>
      <c r="AA170" s="22"/>
      <c r="AB170" s="22"/>
      <c r="AC170" s="22"/>
      <c r="AD170" s="22"/>
      <c r="AE170" s="18"/>
    </row>
    <row r="171" spans="4:31" x14ac:dyDescent="0.2">
      <c r="D171" s="18"/>
      <c r="E171" s="18"/>
      <c r="F171" s="24"/>
      <c r="G171" s="25"/>
      <c r="H171" s="21"/>
      <c r="I171" s="22"/>
      <c r="J171" s="22"/>
      <c r="K171" s="22"/>
      <c r="L171" s="22"/>
      <c r="M171" s="22"/>
      <c r="N171" s="22"/>
      <c r="O171" s="22"/>
      <c r="P171" s="22"/>
      <c r="Q171" s="22"/>
      <c r="R171" s="22"/>
      <c r="S171" s="22"/>
      <c r="T171" s="22"/>
      <c r="U171" s="18"/>
      <c r="V171" s="22"/>
      <c r="W171" s="22"/>
      <c r="X171" s="22"/>
      <c r="Y171" s="22"/>
      <c r="Z171" s="22"/>
      <c r="AA171" s="22"/>
      <c r="AB171" s="22"/>
      <c r="AC171" s="22"/>
      <c r="AD171" s="22"/>
      <c r="AE171" s="18"/>
    </row>
    <row r="172" spans="4:31" x14ac:dyDescent="0.2">
      <c r="D172" s="18"/>
      <c r="E172" s="18"/>
      <c r="F172" s="24"/>
      <c r="G172" s="25"/>
      <c r="H172" s="21"/>
      <c r="I172" s="22"/>
      <c r="J172" s="22"/>
      <c r="K172" s="22"/>
      <c r="L172" s="22"/>
      <c r="M172" s="22"/>
      <c r="N172" s="22"/>
      <c r="O172" s="22"/>
      <c r="P172" s="22"/>
      <c r="Q172" s="22"/>
      <c r="R172" s="22"/>
      <c r="S172" s="22"/>
      <c r="T172" s="22"/>
      <c r="U172" s="18"/>
      <c r="V172" s="22"/>
      <c r="W172" s="22"/>
      <c r="X172" s="22"/>
      <c r="Y172" s="22"/>
      <c r="Z172" s="22"/>
      <c r="AA172" s="22"/>
      <c r="AB172" s="22"/>
      <c r="AC172" s="22"/>
      <c r="AD172" s="22"/>
      <c r="AE172" s="18"/>
    </row>
    <row r="173" spans="4:31" x14ac:dyDescent="0.2">
      <c r="D173" s="18"/>
      <c r="E173" s="18"/>
      <c r="F173" s="24"/>
      <c r="G173" s="25"/>
      <c r="H173" s="21"/>
      <c r="I173" s="22"/>
      <c r="J173" s="22"/>
      <c r="K173" s="22"/>
      <c r="L173" s="22"/>
      <c r="M173" s="22"/>
      <c r="N173" s="22"/>
      <c r="O173" s="22"/>
      <c r="P173" s="22"/>
      <c r="Q173" s="22"/>
      <c r="R173" s="22"/>
      <c r="S173" s="22"/>
      <c r="T173" s="22"/>
      <c r="U173" s="18"/>
      <c r="V173" s="22"/>
      <c r="W173" s="22"/>
      <c r="X173" s="22"/>
      <c r="Y173" s="22"/>
      <c r="Z173" s="22"/>
      <c r="AA173" s="22"/>
      <c r="AB173" s="22"/>
      <c r="AC173" s="22"/>
      <c r="AD173" s="22"/>
      <c r="AE173" s="18"/>
    </row>
    <row r="174" spans="4:31" x14ac:dyDescent="0.2">
      <c r="D174" s="18"/>
      <c r="E174" s="18"/>
      <c r="F174" s="24"/>
      <c r="G174" s="25"/>
      <c r="H174" s="21"/>
      <c r="I174" s="22"/>
      <c r="J174" s="22"/>
      <c r="K174" s="22"/>
      <c r="L174" s="22"/>
      <c r="M174" s="22"/>
      <c r="N174" s="22"/>
      <c r="O174" s="22"/>
      <c r="P174" s="22"/>
      <c r="Q174" s="22"/>
      <c r="R174" s="22"/>
      <c r="S174" s="22"/>
      <c r="T174" s="22"/>
      <c r="U174" s="18"/>
      <c r="V174" s="22"/>
      <c r="W174" s="22"/>
      <c r="X174" s="22"/>
      <c r="Y174" s="22"/>
      <c r="Z174" s="22"/>
      <c r="AA174" s="22"/>
      <c r="AB174" s="22"/>
      <c r="AC174" s="22"/>
      <c r="AD174" s="22"/>
      <c r="AE174" s="18"/>
    </row>
    <row r="175" spans="4:31" x14ac:dyDescent="0.2">
      <c r="D175" s="18"/>
      <c r="E175" s="18"/>
      <c r="F175" s="24"/>
      <c r="G175" s="25"/>
      <c r="H175" s="21"/>
      <c r="I175" s="22"/>
      <c r="J175" s="22"/>
      <c r="K175" s="22"/>
      <c r="L175" s="22"/>
      <c r="M175" s="22"/>
      <c r="N175" s="22"/>
      <c r="O175" s="22"/>
      <c r="P175" s="22"/>
      <c r="Q175" s="22"/>
      <c r="R175" s="22"/>
      <c r="S175" s="22"/>
      <c r="T175" s="22"/>
      <c r="U175" s="18"/>
      <c r="V175" s="22"/>
      <c r="W175" s="22"/>
      <c r="X175" s="22"/>
      <c r="Y175" s="22"/>
      <c r="Z175" s="22"/>
      <c r="AA175" s="22"/>
      <c r="AB175" s="22"/>
      <c r="AC175" s="22"/>
      <c r="AD175" s="22"/>
      <c r="AE175" s="18"/>
    </row>
    <row r="176" spans="4:31" x14ac:dyDescent="0.2">
      <c r="D176" s="18"/>
      <c r="E176" s="18"/>
      <c r="F176" s="24"/>
      <c r="G176" s="25"/>
      <c r="H176" s="21"/>
      <c r="I176" s="22"/>
      <c r="J176" s="22"/>
      <c r="K176" s="22"/>
      <c r="L176" s="22"/>
      <c r="M176" s="22"/>
      <c r="N176" s="22"/>
      <c r="O176" s="22"/>
      <c r="P176" s="22"/>
      <c r="Q176" s="22"/>
      <c r="R176" s="22"/>
      <c r="S176" s="22"/>
      <c r="T176" s="22"/>
      <c r="U176" s="18"/>
      <c r="V176" s="22"/>
      <c r="W176" s="22"/>
      <c r="X176" s="22"/>
      <c r="Y176" s="22"/>
      <c r="Z176" s="22"/>
      <c r="AA176" s="22"/>
      <c r="AB176" s="22"/>
      <c r="AC176" s="22"/>
      <c r="AD176" s="22"/>
      <c r="AE176" s="18"/>
    </row>
    <row r="177" spans="4:31" x14ac:dyDescent="0.2">
      <c r="D177" s="18"/>
      <c r="E177" s="18"/>
      <c r="F177" s="24"/>
      <c r="G177" s="25"/>
      <c r="H177" s="21"/>
      <c r="I177" s="22"/>
      <c r="J177" s="22"/>
      <c r="K177" s="22"/>
      <c r="L177" s="22"/>
      <c r="M177" s="22"/>
      <c r="N177" s="22"/>
      <c r="O177" s="22"/>
      <c r="P177" s="22"/>
      <c r="Q177" s="22"/>
      <c r="R177" s="22"/>
      <c r="S177" s="22"/>
      <c r="T177" s="22"/>
      <c r="U177" s="18"/>
      <c r="V177" s="22"/>
      <c r="W177" s="22"/>
      <c r="X177" s="22"/>
      <c r="Y177" s="22"/>
      <c r="Z177" s="22"/>
      <c r="AA177" s="22"/>
      <c r="AB177" s="22"/>
      <c r="AC177" s="22"/>
      <c r="AD177" s="22"/>
      <c r="AE177" s="18"/>
    </row>
    <row r="178" spans="4:31" x14ac:dyDescent="0.2">
      <c r="D178" s="18"/>
      <c r="E178" s="18"/>
      <c r="F178" s="24"/>
      <c r="G178" s="25"/>
      <c r="H178" s="21"/>
      <c r="I178" s="22"/>
      <c r="J178" s="22"/>
      <c r="K178" s="22"/>
      <c r="L178" s="22"/>
      <c r="M178" s="22"/>
      <c r="N178" s="22"/>
      <c r="O178" s="22"/>
      <c r="P178" s="22"/>
      <c r="Q178" s="22"/>
      <c r="R178" s="22"/>
      <c r="S178" s="22"/>
      <c r="T178" s="22"/>
      <c r="U178" s="18"/>
      <c r="V178" s="22"/>
      <c r="W178" s="22"/>
      <c r="X178" s="22"/>
      <c r="Y178" s="22"/>
      <c r="Z178" s="22"/>
      <c r="AA178" s="22"/>
      <c r="AB178" s="22"/>
      <c r="AC178" s="22"/>
      <c r="AD178" s="22"/>
      <c r="AE178" s="18"/>
    </row>
    <row r="179" spans="4:31" x14ac:dyDescent="0.2">
      <c r="D179" s="18"/>
      <c r="E179" s="18"/>
      <c r="F179" s="24"/>
      <c r="G179" s="25"/>
      <c r="H179" s="21"/>
      <c r="I179" s="22"/>
      <c r="J179" s="22"/>
      <c r="K179" s="22"/>
      <c r="L179" s="22"/>
      <c r="M179" s="22"/>
      <c r="N179" s="22"/>
      <c r="O179" s="22"/>
      <c r="P179" s="22"/>
      <c r="Q179" s="22"/>
      <c r="R179" s="22"/>
      <c r="S179" s="22"/>
      <c r="T179" s="22"/>
      <c r="U179" s="18"/>
      <c r="V179" s="22"/>
      <c r="W179" s="22"/>
      <c r="X179" s="22"/>
      <c r="Y179" s="22"/>
      <c r="Z179" s="22"/>
      <c r="AA179" s="22"/>
      <c r="AB179" s="22"/>
      <c r="AC179" s="22"/>
      <c r="AD179" s="22"/>
      <c r="AE179" s="18"/>
    </row>
    <row r="180" spans="4:31" x14ac:dyDescent="0.2">
      <c r="D180" s="18"/>
      <c r="E180" s="18"/>
      <c r="F180" s="24"/>
      <c r="G180" s="25"/>
      <c r="H180" s="21"/>
      <c r="I180" s="22"/>
      <c r="J180" s="22"/>
      <c r="K180" s="22"/>
      <c r="L180" s="22"/>
      <c r="M180" s="22"/>
      <c r="N180" s="22"/>
      <c r="O180" s="22"/>
      <c r="P180" s="22"/>
      <c r="Q180" s="22"/>
      <c r="R180" s="22"/>
      <c r="S180" s="22"/>
      <c r="T180" s="22"/>
      <c r="U180" s="18"/>
      <c r="V180" s="22"/>
      <c r="W180" s="22"/>
      <c r="X180" s="22"/>
      <c r="Y180" s="22"/>
      <c r="Z180" s="22"/>
      <c r="AA180" s="22"/>
      <c r="AB180" s="22"/>
      <c r="AC180" s="22"/>
      <c r="AD180" s="22"/>
      <c r="AE180" s="18"/>
    </row>
    <row r="181" spans="4:31" x14ac:dyDescent="0.2">
      <c r="D181" s="18"/>
      <c r="E181" s="18"/>
      <c r="F181" s="24"/>
      <c r="G181" s="25"/>
      <c r="H181" s="21"/>
      <c r="I181" s="22"/>
      <c r="J181" s="22"/>
      <c r="K181" s="22"/>
      <c r="L181" s="22"/>
      <c r="M181" s="22"/>
      <c r="N181" s="22"/>
      <c r="O181" s="22"/>
      <c r="P181" s="22"/>
      <c r="Q181" s="22"/>
      <c r="R181" s="22"/>
      <c r="S181" s="22"/>
      <c r="T181" s="22"/>
      <c r="U181" s="18"/>
      <c r="V181" s="22"/>
      <c r="W181" s="22"/>
      <c r="X181" s="22"/>
      <c r="Y181" s="22"/>
      <c r="Z181" s="22"/>
      <c r="AA181" s="22"/>
      <c r="AB181" s="22"/>
      <c r="AC181" s="22"/>
      <c r="AD181" s="22"/>
      <c r="AE181" s="18"/>
    </row>
    <row r="182" spans="4:31" x14ac:dyDescent="0.2">
      <c r="D182" s="18"/>
      <c r="E182" s="18"/>
      <c r="F182" s="24"/>
      <c r="G182" s="25"/>
      <c r="H182" s="21"/>
      <c r="I182" s="22"/>
      <c r="J182" s="22"/>
      <c r="K182" s="22"/>
      <c r="L182" s="22"/>
      <c r="M182" s="22"/>
      <c r="N182" s="22"/>
      <c r="O182" s="22"/>
      <c r="P182" s="22"/>
      <c r="Q182" s="22"/>
      <c r="R182" s="22"/>
      <c r="S182" s="22"/>
      <c r="T182" s="22"/>
      <c r="U182" s="18"/>
      <c r="V182" s="22"/>
      <c r="W182" s="22"/>
      <c r="X182" s="22"/>
      <c r="Y182" s="22"/>
      <c r="Z182" s="22"/>
      <c r="AA182" s="22"/>
      <c r="AB182" s="22"/>
      <c r="AC182" s="22"/>
      <c r="AD182" s="22"/>
      <c r="AE182" s="18"/>
    </row>
    <row r="183" spans="4:31" x14ac:dyDescent="0.2">
      <c r="D183" s="18"/>
      <c r="E183" s="18"/>
      <c r="F183" s="24"/>
      <c r="G183" s="25"/>
      <c r="H183" s="21"/>
      <c r="I183" s="22"/>
      <c r="J183" s="22"/>
      <c r="K183" s="22"/>
      <c r="L183" s="22"/>
      <c r="M183" s="22"/>
      <c r="N183" s="22"/>
      <c r="O183" s="22"/>
      <c r="P183" s="22"/>
      <c r="Q183" s="22"/>
      <c r="R183" s="22"/>
      <c r="S183" s="22"/>
      <c r="T183" s="22"/>
      <c r="U183" s="18"/>
      <c r="V183" s="22"/>
      <c r="W183" s="22"/>
      <c r="X183" s="22"/>
      <c r="Y183" s="22"/>
      <c r="Z183" s="22"/>
      <c r="AA183" s="22"/>
      <c r="AB183" s="22"/>
      <c r="AC183" s="22"/>
      <c r="AD183" s="22"/>
      <c r="AE183" s="18"/>
    </row>
    <row r="184" spans="4:31" x14ac:dyDescent="0.2">
      <c r="D184" s="18"/>
      <c r="E184" s="18"/>
      <c r="F184" s="24"/>
      <c r="G184" s="25"/>
      <c r="H184" s="21"/>
      <c r="I184" s="22"/>
      <c r="J184" s="22"/>
      <c r="K184" s="22"/>
      <c r="L184" s="22"/>
      <c r="M184" s="22"/>
      <c r="N184" s="22"/>
      <c r="O184" s="22"/>
      <c r="P184" s="22"/>
      <c r="Q184" s="22"/>
      <c r="R184" s="22"/>
      <c r="S184" s="22"/>
      <c r="T184" s="22"/>
      <c r="U184" s="18"/>
      <c r="V184" s="22"/>
      <c r="W184" s="22"/>
      <c r="X184" s="22"/>
      <c r="Y184" s="22"/>
      <c r="Z184" s="22"/>
      <c r="AA184" s="22"/>
      <c r="AB184" s="22"/>
      <c r="AC184" s="22"/>
      <c r="AD184" s="22"/>
      <c r="AE184" s="18"/>
    </row>
    <row r="185" spans="4:31" x14ac:dyDescent="0.2">
      <c r="D185" s="18"/>
      <c r="E185" s="18"/>
      <c r="F185" s="24"/>
      <c r="G185" s="25"/>
      <c r="H185" s="21"/>
      <c r="I185" s="22"/>
      <c r="J185" s="22"/>
      <c r="K185" s="22"/>
      <c r="L185" s="22"/>
      <c r="M185" s="22"/>
      <c r="N185" s="22"/>
      <c r="O185" s="22"/>
      <c r="P185" s="22"/>
      <c r="Q185" s="22"/>
      <c r="R185" s="22"/>
      <c r="S185" s="22"/>
      <c r="T185" s="22"/>
      <c r="U185" s="18"/>
      <c r="V185" s="22"/>
      <c r="W185" s="22"/>
      <c r="X185" s="22"/>
      <c r="Y185" s="22"/>
      <c r="Z185" s="22"/>
      <c r="AA185" s="22"/>
      <c r="AB185" s="22"/>
      <c r="AC185" s="22"/>
      <c r="AD185" s="22"/>
      <c r="AE185" s="18"/>
    </row>
    <row r="186" spans="4:31" x14ac:dyDescent="0.2">
      <c r="D186" s="18"/>
      <c r="E186" s="18"/>
      <c r="F186" s="24"/>
      <c r="G186" s="25"/>
      <c r="H186" s="21"/>
      <c r="I186" s="22"/>
      <c r="J186" s="22"/>
      <c r="K186" s="22"/>
      <c r="L186" s="22"/>
      <c r="M186" s="22"/>
      <c r="N186" s="22"/>
      <c r="O186" s="22"/>
      <c r="P186" s="22"/>
      <c r="Q186" s="22"/>
      <c r="R186" s="22"/>
      <c r="S186" s="22"/>
      <c r="T186" s="22"/>
      <c r="U186" s="18"/>
      <c r="V186" s="22"/>
      <c r="W186" s="22"/>
      <c r="X186" s="22"/>
      <c r="Y186" s="22"/>
      <c r="Z186" s="22"/>
      <c r="AA186" s="22"/>
      <c r="AB186" s="22"/>
      <c r="AC186" s="22"/>
      <c r="AD186" s="22"/>
      <c r="AE186" s="18"/>
    </row>
    <row r="187" spans="4:31" x14ac:dyDescent="0.2">
      <c r="D187" s="18"/>
      <c r="E187" s="18"/>
      <c r="F187" s="24"/>
      <c r="G187" s="25"/>
      <c r="H187" s="21"/>
      <c r="I187" s="22"/>
      <c r="J187" s="22"/>
      <c r="K187" s="22"/>
      <c r="L187" s="22"/>
      <c r="M187" s="22"/>
      <c r="N187" s="22"/>
      <c r="O187" s="22"/>
      <c r="P187" s="22"/>
      <c r="Q187" s="22"/>
      <c r="R187" s="22"/>
      <c r="S187" s="22"/>
      <c r="T187" s="22"/>
      <c r="U187" s="18"/>
      <c r="V187" s="22"/>
      <c r="W187" s="22"/>
      <c r="X187" s="22"/>
      <c r="Y187" s="22"/>
      <c r="Z187" s="22"/>
      <c r="AA187" s="22"/>
      <c r="AB187" s="22"/>
      <c r="AC187" s="22"/>
      <c r="AD187" s="22"/>
      <c r="AE187" s="18"/>
    </row>
    <row r="188" spans="4:31" x14ac:dyDescent="0.2">
      <c r="D188" s="18"/>
      <c r="E188" s="18"/>
      <c r="F188" s="24"/>
      <c r="G188" s="25"/>
      <c r="H188" s="21"/>
      <c r="I188" s="22"/>
      <c r="J188" s="22"/>
      <c r="K188" s="22"/>
      <c r="L188" s="22"/>
      <c r="M188" s="22"/>
      <c r="N188" s="22"/>
      <c r="O188" s="22"/>
      <c r="P188" s="22"/>
      <c r="Q188" s="22"/>
      <c r="R188" s="22"/>
      <c r="S188" s="22"/>
      <c r="T188" s="22"/>
      <c r="U188" s="18"/>
      <c r="V188" s="22"/>
      <c r="W188" s="22"/>
      <c r="X188" s="22"/>
      <c r="Y188" s="22"/>
      <c r="Z188" s="22"/>
      <c r="AA188" s="22"/>
      <c r="AB188" s="22"/>
      <c r="AC188" s="22"/>
      <c r="AD188" s="22"/>
      <c r="AE188" s="18"/>
    </row>
    <row r="189" spans="4:31" x14ac:dyDescent="0.2">
      <c r="D189" s="18"/>
      <c r="E189" s="18"/>
      <c r="F189" s="24"/>
      <c r="G189" s="25"/>
      <c r="H189" s="21"/>
      <c r="I189" s="22"/>
      <c r="J189" s="22"/>
      <c r="K189" s="22"/>
      <c r="L189" s="22"/>
      <c r="M189" s="22"/>
      <c r="N189" s="22"/>
      <c r="O189" s="22"/>
      <c r="P189" s="22"/>
      <c r="Q189" s="22"/>
      <c r="R189" s="22"/>
      <c r="S189" s="22"/>
      <c r="T189" s="22"/>
      <c r="U189" s="18"/>
      <c r="V189" s="22"/>
      <c r="W189" s="22"/>
      <c r="X189" s="22"/>
      <c r="Y189" s="22"/>
      <c r="Z189" s="22"/>
      <c r="AA189" s="22"/>
      <c r="AB189" s="22"/>
      <c r="AC189" s="22"/>
      <c r="AD189" s="22"/>
      <c r="AE189" s="18"/>
    </row>
    <row r="190" spans="4:31" x14ac:dyDescent="0.2">
      <c r="D190" s="18"/>
      <c r="E190" s="18"/>
      <c r="F190" s="24"/>
      <c r="G190" s="25"/>
      <c r="H190" s="21"/>
      <c r="I190" s="22"/>
      <c r="J190" s="22"/>
      <c r="K190" s="22"/>
      <c r="L190" s="22"/>
      <c r="M190" s="22"/>
      <c r="N190" s="22"/>
      <c r="O190" s="22"/>
      <c r="P190" s="22"/>
      <c r="Q190" s="22"/>
      <c r="R190" s="22"/>
      <c r="S190" s="22"/>
      <c r="T190" s="22"/>
      <c r="U190" s="18"/>
      <c r="V190" s="22"/>
      <c r="W190" s="22"/>
      <c r="X190" s="22"/>
      <c r="Y190" s="22"/>
      <c r="Z190" s="22"/>
      <c r="AA190" s="22"/>
      <c r="AB190" s="22"/>
      <c r="AC190" s="22"/>
      <c r="AD190" s="22"/>
      <c r="AE190" s="18"/>
    </row>
    <row r="191" spans="4:31" x14ac:dyDescent="0.2">
      <c r="D191" s="18"/>
      <c r="E191" s="18"/>
      <c r="F191" s="24"/>
      <c r="G191" s="25"/>
      <c r="H191" s="21"/>
      <c r="I191" s="22"/>
      <c r="J191" s="22"/>
      <c r="K191" s="22"/>
      <c r="L191" s="22"/>
      <c r="M191" s="22"/>
      <c r="N191" s="22"/>
      <c r="O191" s="22"/>
      <c r="P191" s="22"/>
      <c r="Q191" s="22"/>
      <c r="R191" s="22"/>
      <c r="S191" s="22"/>
      <c r="T191" s="22"/>
      <c r="U191" s="18"/>
      <c r="V191" s="22"/>
      <c r="W191" s="22"/>
      <c r="X191" s="22"/>
      <c r="Y191" s="22"/>
      <c r="Z191" s="22"/>
      <c r="AA191" s="22"/>
      <c r="AB191" s="22"/>
      <c r="AC191" s="22"/>
      <c r="AD191" s="22"/>
      <c r="AE191" s="18"/>
    </row>
    <row r="192" spans="4:31" x14ac:dyDescent="0.2">
      <c r="D192" s="18"/>
      <c r="E192" s="18"/>
      <c r="F192" s="24"/>
      <c r="G192" s="25"/>
      <c r="H192" s="21"/>
      <c r="I192" s="22"/>
      <c r="J192" s="22"/>
      <c r="K192" s="22"/>
      <c r="L192" s="22"/>
      <c r="M192" s="22"/>
      <c r="N192" s="22"/>
      <c r="O192" s="22"/>
      <c r="P192" s="22"/>
      <c r="Q192" s="22"/>
      <c r="R192" s="22"/>
      <c r="S192" s="22"/>
      <c r="T192" s="22"/>
      <c r="U192" s="18"/>
      <c r="V192" s="22"/>
      <c r="W192" s="22"/>
      <c r="X192" s="22"/>
      <c r="Y192" s="22"/>
      <c r="Z192" s="22"/>
      <c r="AA192" s="22"/>
      <c r="AB192" s="22"/>
      <c r="AC192" s="22"/>
      <c r="AD192" s="22"/>
      <c r="AE192" s="18"/>
    </row>
    <row r="193" spans="4:31" x14ac:dyDescent="0.2">
      <c r="D193" s="18"/>
      <c r="E193" s="18"/>
      <c r="F193" s="24"/>
      <c r="G193" s="25"/>
      <c r="H193" s="21"/>
      <c r="I193" s="22"/>
      <c r="J193" s="22"/>
      <c r="K193" s="22"/>
      <c r="L193" s="22"/>
      <c r="M193" s="22"/>
      <c r="N193" s="22"/>
      <c r="O193" s="22"/>
      <c r="P193" s="22"/>
      <c r="Q193" s="22"/>
      <c r="R193" s="22"/>
      <c r="S193" s="22"/>
      <c r="T193" s="22"/>
      <c r="U193" s="18"/>
      <c r="V193" s="22"/>
      <c r="W193" s="22"/>
      <c r="X193" s="22"/>
      <c r="Y193" s="22"/>
      <c r="Z193" s="22"/>
      <c r="AA193" s="22"/>
      <c r="AB193" s="22"/>
      <c r="AC193" s="22"/>
      <c r="AD193" s="22"/>
      <c r="AE193" s="18"/>
    </row>
    <row r="194" spans="4:31" x14ac:dyDescent="0.2">
      <c r="D194" s="18"/>
      <c r="E194" s="18"/>
      <c r="F194" s="24"/>
      <c r="G194" s="25"/>
      <c r="H194" s="21"/>
      <c r="I194" s="22"/>
      <c r="J194" s="22"/>
      <c r="K194" s="22"/>
      <c r="L194" s="22"/>
      <c r="M194" s="22"/>
      <c r="N194" s="22"/>
      <c r="O194" s="22"/>
      <c r="P194" s="22"/>
      <c r="Q194" s="22"/>
      <c r="R194" s="22"/>
      <c r="S194" s="22"/>
      <c r="T194" s="22"/>
      <c r="U194" s="18"/>
      <c r="V194" s="22"/>
      <c r="W194" s="22"/>
      <c r="X194" s="22"/>
      <c r="Y194" s="22"/>
      <c r="Z194" s="22"/>
      <c r="AA194" s="22"/>
      <c r="AB194" s="22"/>
      <c r="AC194" s="22"/>
      <c r="AD194" s="22"/>
      <c r="AE194" s="18"/>
    </row>
    <row r="195" spans="4:31" x14ac:dyDescent="0.2">
      <c r="D195" s="18"/>
      <c r="E195" s="18"/>
      <c r="F195" s="24"/>
      <c r="G195" s="25"/>
      <c r="H195" s="21"/>
      <c r="I195" s="22"/>
      <c r="J195" s="22"/>
      <c r="K195" s="22"/>
      <c r="L195" s="22"/>
      <c r="M195" s="22"/>
      <c r="N195" s="22"/>
      <c r="O195" s="22"/>
      <c r="P195" s="22"/>
      <c r="Q195" s="22"/>
      <c r="R195" s="22"/>
      <c r="S195" s="22"/>
      <c r="T195" s="22"/>
      <c r="U195" s="18"/>
      <c r="V195" s="22"/>
      <c r="W195" s="22"/>
      <c r="X195" s="22"/>
      <c r="Y195" s="22"/>
      <c r="Z195" s="22"/>
      <c r="AA195" s="22"/>
      <c r="AB195" s="22"/>
      <c r="AC195" s="22"/>
      <c r="AD195" s="22"/>
      <c r="AE195" s="18"/>
    </row>
    <row r="196" spans="4:31" x14ac:dyDescent="0.2">
      <c r="D196" s="18"/>
      <c r="E196" s="18"/>
      <c r="F196" s="24"/>
      <c r="G196" s="25"/>
      <c r="H196" s="21"/>
      <c r="I196" s="22"/>
      <c r="J196" s="22"/>
      <c r="K196" s="22"/>
      <c r="L196" s="22"/>
      <c r="M196" s="22"/>
      <c r="N196" s="22"/>
      <c r="O196" s="22"/>
      <c r="P196" s="22"/>
      <c r="Q196" s="22"/>
      <c r="R196" s="22"/>
      <c r="S196" s="22"/>
      <c r="T196" s="22"/>
      <c r="U196" s="18"/>
      <c r="V196" s="22"/>
      <c r="W196" s="22"/>
      <c r="X196" s="22"/>
      <c r="Y196" s="22"/>
      <c r="Z196" s="22"/>
      <c r="AA196" s="22"/>
      <c r="AB196" s="22"/>
      <c r="AC196" s="22"/>
      <c r="AD196" s="22"/>
      <c r="AE196" s="18"/>
    </row>
    <row r="197" spans="4:31" x14ac:dyDescent="0.2">
      <c r="D197" s="18"/>
      <c r="E197" s="18"/>
      <c r="F197" s="24"/>
      <c r="G197" s="25"/>
      <c r="H197" s="21"/>
      <c r="I197" s="22"/>
      <c r="J197" s="22"/>
      <c r="K197" s="22"/>
      <c r="L197" s="22"/>
      <c r="M197" s="22"/>
      <c r="N197" s="22"/>
      <c r="O197" s="22"/>
      <c r="P197" s="22"/>
      <c r="Q197" s="22"/>
      <c r="R197" s="22"/>
      <c r="S197" s="22"/>
      <c r="T197" s="22"/>
      <c r="U197" s="18"/>
      <c r="V197" s="22"/>
      <c r="W197" s="22"/>
      <c r="X197" s="22"/>
      <c r="Y197" s="22"/>
      <c r="Z197" s="22"/>
      <c r="AA197" s="22"/>
      <c r="AB197" s="22"/>
      <c r="AC197" s="22"/>
      <c r="AD197" s="22"/>
      <c r="AE197" s="18"/>
    </row>
    <row r="198" spans="4:31" x14ac:dyDescent="0.2">
      <c r="D198" s="18"/>
      <c r="E198" s="18"/>
      <c r="F198" s="24"/>
      <c r="G198" s="25"/>
      <c r="H198" s="21"/>
      <c r="I198" s="22"/>
      <c r="J198" s="22"/>
      <c r="K198" s="22"/>
      <c r="L198" s="22"/>
      <c r="M198" s="22"/>
      <c r="N198" s="22"/>
      <c r="O198" s="22"/>
      <c r="P198" s="22"/>
      <c r="Q198" s="22"/>
      <c r="R198" s="22"/>
      <c r="S198" s="22"/>
      <c r="T198" s="22"/>
      <c r="U198" s="18"/>
      <c r="V198" s="22"/>
      <c r="W198" s="22"/>
      <c r="X198" s="22"/>
      <c r="Y198" s="22"/>
      <c r="Z198" s="22"/>
      <c r="AA198" s="22"/>
      <c r="AB198" s="22"/>
      <c r="AC198" s="22"/>
      <c r="AD198" s="22"/>
      <c r="AE198" s="18"/>
    </row>
    <row r="199" spans="4:31" x14ac:dyDescent="0.2">
      <c r="D199" s="18"/>
      <c r="E199" s="18"/>
      <c r="F199" s="24"/>
      <c r="G199" s="25"/>
      <c r="H199" s="21"/>
      <c r="I199" s="22"/>
      <c r="J199" s="22"/>
      <c r="K199" s="22"/>
      <c r="L199" s="22"/>
      <c r="M199" s="22"/>
      <c r="N199" s="22"/>
      <c r="O199" s="22"/>
      <c r="P199" s="22"/>
      <c r="Q199" s="22"/>
      <c r="R199" s="22"/>
      <c r="S199" s="22"/>
      <c r="T199" s="22"/>
      <c r="U199" s="18"/>
      <c r="V199" s="22"/>
      <c r="W199" s="22"/>
      <c r="X199" s="22"/>
      <c r="Y199" s="22"/>
      <c r="Z199" s="22"/>
      <c r="AA199" s="22"/>
      <c r="AB199" s="22"/>
      <c r="AC199" s="22"/>
      <c r="AD199" s="22"/>
      <c r="AE199" s="18"/>
    </row>
    <row r="200" spans="4:31" x14ac:dyDescent="0.2">
      <c r="D200" s="18"/>
      <c r="E200" s="18"/>
      <c r="F200" s="24"/>
      <c r="G200" s="25"/>
      <c r="H200" s="21"/>
      <c r="I200" s="22"/>
      <c r="J200" s="22"/>
      <c r="K200" s="22"/>
      <c r="L200" s="22"/>
      <c r="M200" s="22"/>
      <c r="N200" s="22"/>
      <c r="O200" s="22"/>
      <c r="P200" s="22"/>
      <c r="Q200" s="22"/>
      <c r="R200" s="22"/>
      <c r="S200" s="22"/>
      <c r="T200" s="22"/>
      <c r="U200" s="18"/>
      <c r="V200" s="22"/>
      <c r="W200" s="22"/>
      <c r="X200" s="22"/>
      <c r="Y200" s="22"/>
      <c r="Z200" s="22"/>
      <c r="AA200" s="22"/>
      <c r="AB200" s="22"/>
      <c r="AC200" s="22"/>
      <c r="AD200" s="22"/>
      <c r="AE200" s="18"/>
    </row>
    <row r="201" spans="4:31" x14ac:dyDescent="0.2">
      <c r="D201" s="18"/>
      <c r="E201" s="18"/>
      <c r="F201" s="24"/>
      <c r="G201" s="25"/>
      <c r="H201" s="21"/>
      <c r="I201" s="22"/>
      <c r="J201" s="22"/>
      <c r="K201" s="22"/>
      <c r="L201" s="22"/>
      <c r="M201" s="22"/>
      <c r="N201" s="22"/>
      <c r="O201" s="22"/>
      <c r="P201" s="22"/>
      <c r="Q201" s="22"/>
      <c r="R201" s="22"/>
      <c r="S201" s="22"/>
      <c r="T201" s="22"/>
      <c r="U201" s="18"/>
      <c r="V201" s="22"/>
      <c r="W201" s="22"/>
      <c r="X201" s="22"/>
      <c r="Y201" s="22"/>
      <c r="Z201" s="22"/>
      <c r="AA201" s="22"/>
      <c r="AB201" s="22"/>
      <c r="AC201" s="22"/>
      <c r="AD201" s="22"/>
      <c r="AE201" s="18"/>
    </row>
    <row r="202" spans="4:31" x14ac:dyDescent="0.2">
      <c r="D202" s="18"/>
      <c r="E202" s="18"/>
      <c r="F202" s="24"/>
      <c r="G202" s="25"/>
      <c r="H202" s="21"/>
      <c r="I202" s="22"/>
      <c r="J202" s="22"/>
      <c r="K202" s="22"/>
      <c r="L202" s="22"/>
      <c r="M202" s="22"/>
      <c r="N202" s="22"/>
      <c r="O202" s="22"/>
      <c r="P202" s="22"/>
      <c r="Q202" s="22"/>
      <c r="R202" s="22"/>
      <c r="S202" s="22"/>
      <c r="T202" s="22"/>
      <c r="U202" s="18"/>
      <c r="V202" s="22"/>
      <c r="W202" s="22"/>
      <c r="X202" s="22"/>
      <c r="Y202" s="22"/>
      <c r="Z202" s="22"/>
      <c r="AA202" s="22"/>
      <c r="AB202" s="22"/>
      <c r="AC202" s="22"/>
      <c r="AD202" s="22"/>
      <c r="AE202" s="18"/>
    </row>
    <row r="203" spans="4:31" x14ac:dyDescent="0.2">
      <c r="D203" s="18"/>
      <c r="E203" s="18"/>
      <c r="F203" s="24"/>
      <c r="G203" s="25"/>
      <c r="H203" s="21"/>
      <c r="I203" s="22"/>
      <c r="J203" s="22"/>
      <c r="K203" s="22"/>
      <c r="L203" s="22"/>
      <c r="M203" s="22"/>
      <c r="N203" s="22"/>
      <c r="O203" s="22"/>
      <c r="P203" s="22"/>
      <c r="Q203" s="22"/>
      <c r="R203" s="22"/>
      <c r="S203" s="22"/>
      <c r="T203" s="22"/>
      <c r="U203" s="18"/>
      <c r="V203" s="22"/>
      <c r="W203" s="22"/>
      <c r="X203" s="22"/>
      <c r="Y203" s="22"/>
      <c r="Z203" s="22"/>
      <c r="AA203" s="22"/>
      <c r="AB203" s="22"/>
      <c r="AC203" s="22"/>
      <c r="AD203" s="22"/>
      <c r="AE203" s="18"/>
    </row>
    <row r="204" spans="4:31" x14ac:dyDescent="0.2">
      <c r="D204" s="18"/>
      <c r="E204" s="18"/>
      <c r="F204" s="24"/>
      <c r="G204" s="25"/>
      <c r="H204" s="21"/>
      <c r="I204" s="22"/>
      <c r="J204" s="22"/>
      <c r="K204" s="22"/>
      <c r="L204" s="22"/>
      <c r="M204" s="22"/>
      <c r="N204" s="22"/>
      <c r="O204" s="22"/>
      <c r="P204" s="22"/>
      <c r="Q204" s="22"/>
      <c r="R204" s="22"/>
      <c r="S204" s="22"/>
      <c r="T204" s="22"/>
      <c r="U204" s="18"/>
      <c r="V204" s="22"/>
      <c r="W204" s="22"/>
      <c r="X204" s="22"/>
      <c r="Y204" s="22"/>
      <c r="Z204" s="22"/>
      <c r="AA204" s="22"/>
      <c r="AB204" s="22"/>
      <c r="AC204" s="22"/>
      <c r="AD204" s="22"/>
      <c r="AE204" s="18"/>
    </row>
    <row r="205" spans="4:31" x14ac:dyDescent="0.2">
      <c r="D205" s="18"/>
      <c r="E205" s="18"/>
      <c r="F205" s="24"/>
      <c r="G205" s="25"/>
      <c r="H205" s="21"/>
      <c r="I205" s="22"/>
      <c r="J205" s="22"/>
      <c r="K205" s="22"/>
      <c r="L205" s="22"/>
      <c r="M205" s="22"/>
      <c r="N205" s="22"/>
      <c r="O205" s="22"/>
      <c r="P205" s="22"/>
      <c r="Q205" s="22"/>
      <c r="R205" s="22"/>
      <c r="S205" s="22"/>
      <c r="T205" s="22"/>
      <c r="U205" s="18"/>
      <c r="V205" s="22"/>
      <c r="W205" s="22"/>
      <c r="X205" s="22"/>
      <c r="Y205" s="22"/>
      <c r="Z205" s="22"/>
      <c r="AA205" s="22"/>
      <c r="AB205" s="22"/>
      <c r="AC205" s="22"/>
      <c r="AD205" s="22"/>
      <c r="AE205" s="18"/>
    </row>
    <row r="206" spans="4:31" x14ac:dyDescent="0.2">
      <c r="D206" s="18"/>
      <c r="E206" s="18"/>
      <c r="F206" s="24"/>
      <c r="G206" s="25"/>
      <c r="H206" s="21"/>
      <c r="I206" s="22"/>
      <c r="J206" s="22"/>
      <c r="K206" s="22"/>
      <c r="L206" s="22"/>
      <c r="M206" s="22"/>
      <c r="N206" s="22"/>
      <c r="O206" s="22"/>
      <c r="P206" s="22"/>
      <c r="Q206" s="22"/>
      <c r="R206" s="22"/>
      <c r="S206" s="22"/>
      <c r="T206" s="22"/>
      <c r="U206" s="18"/>
      <c r="V206" s="22"/>
      <c r="W206" s="22"/>
      <c r="X206" s="22"/>
      <c r="Y206" s="22"/>
      <c r="Z206" s="22"/>
      <c r="AA206" s="22"/>
      <c r="AB206" s="22"/>
      <c r="AC206" s="22"/>
      <c r="AD206" s="22"/>
      <c r="AE206" s="18"/>
    </row>
    <row r="207" spans="4:31" x14ac:dyDescent="0.2">
      <c r="D207" s="18"/>
      <c r="E207" s="18"/>
      <c r="F207" s="24"/>
      <c r="G207" s="25"/>
      <c r="H207" s="21"/>
      <c r="I207" s="22"/>
      <c r="J207" s="22"/>
      <c r="K207" s="22"/>
      <c r="L207" s="22"/>
      <c r="M207" s="22"/>
      <c r="N207" s="22"/>
      <c r="O207" s="22"/>
      <c r="P207" s="22"/>
      <c r="Q207" s="22"/>
      <c r="R207" s="22"/>
      <c r="S207" s="22"/>
      <c r="T207" s="22"/>
      <c r="U207" s="18"/>
      <c r="V207" s="22"/>
      <c r="W207" s="22"/>
      <c r="X207" s="22"/>
      <c r="Y207" s="22"/>
      <c r="Z207" s="22"/>
      <c r="AA207" s="22"/>
      <c r="AB207" s="22"/>
      <c r="AC207" s="22"/>
      <c r="AD207" s="22"/>
      <c r="AE207" s="18"/>
    </row>
    <row r="208" spans="4:31" x14ac:dyDescent="0.2">
      <c r="D208" s="18"/>
      <c r="E208" s="18"/>
      <c r="F208" s="24"/>
      <c r="G208" s="25"/>
      <c r="H208" s="21"/>
      <c r="I208" s="22"/>
      <c r="J208" s="22"/>
      <c r="K208" s="22"/>
      <c r="L208" s="22"/>
      <c r="M208" s="22"/>
      <c r="N208" s="22"/>
      <c r="O208" s="22"/>
      <c r="P208" s="22"/>
      <c r="Q208" s="22"/>
      <c r="R208" s="22"/>
      <c r="S208" s="22"/>
      <c r="T208" s="22"/>
      <c r="U208" s="18"/>
      <c r="V208" s="22"/>
      <c r="W208" s="22"/>
      <c r="X208" s="22"/>
      <c r="Y208" s="22"/>
      <c r="Z208" s="22"/>
      <c r="AA208" s="22"/>
      <c r="AB208" s="22"/>
      <c r="AC208" s="22"/>
      <c r="AD208" s="22"/>
      <c r="AE208" s="18"/>
    </row>
    <row r="209" spans="4:31" x14ac:dyDescent="0.2">
      <c r="D209" s="18"/>
      <c r="E209" s="18"/>
      <c r="F209" s="24"/>
      <c r="G209" s="25"/>
      <c r="H209" s="21"/>
      <c r="I209" s="22"/>
      <c r="J209" s="22"/>
      <c r="K209" s="22"/>
      <c r="L209" s="22"/>
      <c r="M209" s="22"/>
      <c r="N209" s="22"/>
      <c r="O209" s="22"/>
      <c r="P209" s="22"/>
      <c r="Q209" s="22"/>
      <c r="R209" s="22"/>
      <c r="S209" s="22"/>
      <c r="T209" s="22"/>
      <c r="U209" s="18"/>
      <c r="V209" s="22"/>
      <c r="W209" s="22"/>
      <c r="X209" s="22"/>
      <c r="Y209" s="22"/>
      <c r="Z209" s="22"/>
      <c r="AA209" s="22"/>
      <c r="AB209" s="22"/>
      <c r="AC209" s="22"/>
      <c r="AD209" s="22"/>
      <c r="AE209" s="18"/>
    </row>
    <row r="210" spans="4:31" x14ac:dyDescent="0.2">
      <c r="D210" s="18"/>
      <c r="E210" s="18"/>
      <c r="F210" s="24"/>
      <c r="G210" s="25"/>
      <c r="H210" s="21"/>
      <c r="I210" s="22"/>
      <c r="J210" s="22"/>
      <c r="K210" s="22"/>
      <c r="L210" s="22"/>
      <c r="M210" s="22"/>
      <c r="N210" s="22"/>
      <c r="O210" s="22"/>
      <c r="P210" s="22"/>
      <c r="Q210" s="22"/>
      <c r="R210" s="22"/>
      <c r="S210" s="22"/>
      <c r="T210" s="22"/>
      <c r="U210" s="18"/>
      <c r="V210" s="22"/>
      <c r="W210" s="22"/>
      <c r="X210" s="22"/>
      <c r="Y210" s="22"/>
      <c r="Z210" s="22"/>
      <c r="AA210" s="22"/>
      <c r="AB210" s="22"/>
      <c r="AC210" s="22"/>
      <c r="AD210" s="22"/>
      <c r="AE210" s="18"/>
    </row>
    <row r="211" spans="4:31" x14ac:dyDescent="0.2">
      <c r="D211" s="18"/>
      <c r="E211" s="18"/>
      <c r="F211" s="24"/>
      <c r="G211" s="25"/>
      <c r="H211" s="21"/>
      <c r="I211" s="22"/>
      <c r="J211" s="22"/>
      <c r="K211" s="22"/>
      <c r="L211" s="22"/>
      <c r="M211" s="22"/>
      <c r="N211" s="22"/>
      <c r="O211" s="22"/>
      <c r="P211" s="22"/>
      <c r="Q211" s="22"/>
      <c r="R211" s="22"/>
      <c r="S211" s="22"/>
      <c r="T211" s="22"/>
      <c r="U211" s="18"/>
      <c r="V211" s="22"/>
      <c r="W211" s="22"/>
      <c r="X211" s="22"/>
      <c r="Y211" s="22"/>
      <c r="Z211" s="22"/>
      <c r="AA211" s="22"/>
      <c r="AB211" s="22"/>
      <c r="AC211" s="22"/>
      <c r="AD211" s="22"/>
      <c r="AE211" s="18"/>
    </row>
    <row r="212" spans="4:31" x14ac:dyDescent="0.2">
      <c r="D212" s="18"/>
      <c r="E212" s="18"/>
      <c r="F212" s="24"/>
      <c r="G212" s="25"/>
      <c r="H212" s="21"/>
      <c r="I212" s="22"/>
      <c r="J212" s="22"/>
      <c r="K212" s="22"/>
      <c r="L212" s="22"/>
      <c r="M212" s="22"/>
      <c r="N212" s="22"/>
      <c r="O212" s="22"/>
      <c r="P212" s="22"/>
      <c r="Q212" s="22"/>
      <c r="R212" s="22"/>
      <c r="S212" s="22"/>
      <c r="T212" s="22"/>
      <c r="U212" s="18"/>
      <c r="V212" s="22"/>
      <c r="W212" s="22"/>
      <c r="X212" s="22"/>
      <c r="Y212" s="22"/>
      <c r="Z212" s="22"/>
      <c r="AA212" s="22"/>
      <c r="AB212" s="22"/>
      <c r="AC212" s="22"/>
      <c r="AD212" s="22"/>
      <c r="AE212" s="18"/>
    </row>
    <row r="213" spans="4:31" x14ac:dyDescent="0.2">
      <c r="D213" s="18"/>
      <c r="E213" s="18"/>
      <c r="F213" s="24"/>
      <c r="G213" s="25"/>
      <c r="H213" s="21"/>
      <c r="I213" s="22"/>
      <c r="J213" s="22"/>
      <c r="K213" s="22"/>
      <c r="L213" s="22"/>
      <c r="M213" s="22"/>
      <c r="N213" s="22"/>
      <c r="O213" s="22"/>
      <c r="P213" s="22"/>
      <c r="Q213" s="22"/>
      <c r="R213" s="22"/>
      <c r="S213" s="22"/>
      <c r="T213" s="22"/>
      <c r="U213" s="18"/>
      <c r="V213" s="22"/>
      <c r="W213" s="22"/>
      <c r="X213" s="22"/>
      <c r="Y213" s="22"/>
      <c r="Z213" s="22"/>
      <c r="AA213" s="22"/>
      <c r="AB213" s="22"/>
      <c r="AC213" s="22"/>
      <c r="AD213" s="22"/>
      <c r="AE213" s="18"/>
    </row>
    <row r="214" spans="4:31" x14ac:dyDescent="0.2">
      <c r="D214" s="18"/>
      <c r="E214" s="18"/>
      <c r="F214" s="24"/>
      <c r="G214" s="25"/>
      <c r="H214" s="21"/>
      <c r="I214" s="22"/>
      <c r="J214" s="22"/>
      <c r="K214" s="22"/>
      <c r="L214" s="22"/>
      <c r="M214" s="22"/>
      <c r="N214" s="22"/>
      <c r="O214" s="22"/>
      <c r="P214" s="22"/>
      <c r="Q214" s="22"/>
      <c r="R214" s="22"/>
      <c r="S214" s="22"/>
      <c r="T214" s="22"/>
      <c r="U214" s="18"/>
      <c r="V214" s="22"/>
      <c r="W214" s="22"/>
      <c r="X214" s="22"/>
      <c r="Y214" s="22"/>
      <c r="Z214" s="22"/>
      <c r="AA214" s="22"/>
      <c r="AB214" s="22"/>
      <c r="AC214" s="22"/>
      <c r="AD214" s="22"/>
      <c r="AE214" s="18"/>
    </row>
    <row r="215" spans="4:31" x14ac:dyDescent="0.2">
      <c r="D215" s="18"/>
      <c r="E215" s="18"/>
      <c r="F215" s="24"/>
      <c r="G215" s="25"/>
      <c r="H215" s="21"/>
      <c r="I215" s="22"/>
      <c r="J215" s="22"/>
      <c r="K215" s="22"/>
      <c r="L215" s="22"/>
      <c r="M215" s="22"/>
      <c r="N215" s="22"/>
      <c r="O215" s="22"/>
      <c r="P215" s="22"/>
      <c r="Q215" s="22"/>
      <c r="R215" s="22"/>
      <c r="S215" s="22"/>
      <c r="T215" s="22"/>
      <c r="U215" s="18"/>
      <c r="V215" s="22"/>
      <c r="W215" s="22"/>
      <c r="X215" s="22"/>
      <c r="Y215" s="22"/>
      <c r="Z215" s="22"/>
      <c r="AA215" s="22"/>
      <c r="AB215" s="22"/>
      <c r="AC215" s="22"/>
      <c r="AD215" s="22"/>
      <c r="AE215" s="18"/>
    </row>
    <row r="216" spans="4:31" x14ac:dyDescent="0.2">
      <c r="D216" s="18"/>
      <c r="E216" s="18"/>
      <c r="F216" s="24"/>
      <c r="G216" s="25"/>
      <c r="H216" s="21"/>
      <c r="I216" s="22"/>
      <c r="J216" s="22"/>
      <c r="K216" s="22"/>
      <c r="L216" s="22"/>
      <c r="M216" s="22"/>
      <c r="N216" s="22"/>
      <c r="O216" s="22"/>
      <c r="P216" s="22"/>
      <c r="Q216" s="22"/>
      <c r="R216" s="22"/>
      <c r="S216" s="22"/>
      <c r="T216" s="22"/>
      <c r="U216" s="18"/>
      <c r="V216" s="22"/>
      <c r="W216" s="22"/>
      <c r="X216" s="22"/>
      <c r="Y216" s="22"/>
      <c r="Z216" s="22"/>
      <c r="AA216" s="22"/>
      <c r="AB216" s="22"/>
      <c r="AC216" s="22"/>
      <c r="AD216" s="22"/>
      <c r="AE216" s="18"/>
    </row>
    <row r="217" spans="4:31" x14ac:dyDescent="0.2">
      <c r="D217" s="18"/>
      <c r="E217" s="18"/>
      <c r="F217" s="24"/>
      <c r="G217" s="25"/>
      <c r="H217" s="21"/>
      <c r="I217" s="22"/>
      <c r="J217" s="22"/>
      <c r="K217" s="22"/>
      <c r="L217" s="22"/>
      <c r="M217" s="22"/>
      <c r="N217" s="22"/>
      <c r="O217" s="22"/>
      <c r="P217" s="22"/>
      <c r="Q217" s="22"/>
      <c r="R217" s="22"/>
      <c r="S217" s="22"/>
      <c r="T217" s="22"/>
      <c r="U217" s="18"/>
      <c r="V217" s="22"/>
      <c r="W217" s="22"/>
      <c r="X217" s="22"/>
      <c r="Y217" s="22"/>
      <c r="Z217" s="22"/>
      <c r="AA217" s="22"/>
      <c r="AB217" s="22"/>
      <c r="AC217" s="22"/>
      <c r="AD217" s="22"/>
      <c r="AE217" s="18"/>
    </row>
    <row r="218" spans="4:31" x14ac:dyDescent="0.2">
      <c r="D218" s="18"/>
      <c r="E218" s="18"/>
      <c r="F218" s="24"/>
      <c r="G218" s="25"/>
      <c r="H218" s="21"/>
      <c r="I218" s="22"/>
      <c r="J218" s="22"/>
      <c r="K218" s="22"/>
      <c r="L218" s="22"/>
      <c r="M218" s="22"/>
      <c r="N218" s="22"/>
      <c r="O218" s="22"/>
      <c r="P218" s="22"/>
      <c r="Q218" s="22"/>
      <c r="R218" s="22"/>
      <c r="S218" s="22"/>
      <c r="T218" s="22"/>
      <c r="U218" s="18"/>
      <c r="V218" s="22"/>
      <c r="W218" s="22"/>
      <c r="X218" s="22"/>
      <c r="Y218" s="22"/>
      <c r="Z218" s="22"/>
      <c r="AA218" s="22"/>
      <c r="AB218" s="22"/>
      <c r="AC218" s="22"/>
      <c r="AD218" s="22"/>
      <c r="AE218" s="18"/>
    </row>
    <row r="219" spans="4:31" x14ac:dyDescent="0.2">
      <c r="D219" s="18"/>
      <c r="E219" s="18"/>
      <c r="F219" s="24"/>
      <c r="G219" s="25"/>
      <c r="H219" s="21"/>
      <c r="I219" s="22"/>
      <c r="J219" s="22"/>
      <c r="K219" s="22"/>
      <c r="L219" s="22"/>
      <c r="M219" s="22"/>
      <c r="N219" s="22"/>
      <c r="O219" s="22"/>
      <c r="P219" s="22"/>
      <c r="Q219" s="22"/>
      <c r="R219" s="22"/>
      <c r="S219" s="22"/>
      <c r="T219" s="22"/>
      <c r="U219" s="18"/>
      <c r="V219" s="22"/>
      <c r="W219" s="22"/>
      <c r="X219" s="22"/>
      <c r="Y219" s="22"/>
      <c r="Z219" s="22"/>
      <c r="AA219" s="22"/>
      <c r="AB219" s="22"/>
      <c r="AC219" s="22"/>
      <c r="AD219" s="22"/>
      <c r="AE219" s="18"/>
    </row>
    <row r="220" spans="4:31" x14ac:dyDescent="0.2">
      <c r="D220" s="18"/>
      <c r="E220" s="18"/>
      <c r="F220" s="24"/>
      <c r="G220" s="25"/>
      <c r="H220" s="21"/>
      <c r="I220" s="22"/>
      <c r="J220" s="22"/>
      <c r="K220" s="22"/>
      <c r="L220" s="22"/>
      <c r="M220" s="22"/>
      <c r="N220" s="22"/>
      <c r="O220" s="22"/>
      <c r="P220" s="22"/>
      <c r="Q220" s="22"/>
      <c r="R220" s="22"/>
      <c r="S220" s="22"/>
      <c r="T220" s="22"/>
      <c r="U220" s="18"/>
      <c r="V220" s="22"/>
      <c r="W220" s="22"/>
      <c r="X220" s="22"/>
      <c r="Y220" s="22"/>
      <c r="Z220" s="22"/>
      <c r="AA220" s="22"/>
      <c r="AB220" s="22"/>
      <c r="AC220" s="22"/>
      <c r="AD220" s="22"/>
      <c r="AE220" s="18"/>
    </row>
    <row r="221" spans="4:31" x14ac:dyDescent="0.2">
      <c r="D221" s="18"/>
      <c r="E221" s="18"/>
      <c r="F221" s="24"/>
      <c r="G221" s="25"/>
      <c r="H221" s="21"/>
      <c r="I221" s="22"/>
      <c r="J221" s="22"/>
      <c r="K221" s="22"/>
      <c r="L221" s="22"/>
      <c r="M221" s="22"/>
      <c r="N221" s="22"/>
      <c r="O221" s="22"/>
      <c r="P221" s="22"/>
      <c r="Q221" s="22"/>
      <c r="R221" s="22"/>
      <c r="S221" s="22"/>
      <c r="T221" s="22"/>
      <c r="U221" s="18"/>
      <c r="V221" s="22"/>
      <c r="W221" s="22"/>
      <c r="X221" s="22"/>
      <c r="Y221" s="22"/>
      <c r="Z221" s="22"/>
      <c r="AA221" s="22"/>
      <c r="AB221" s="22"/>
      <c r="AC221" s="22"/>
      <c r="AD221" s="22"/>
      <c r="AE221" s="18"/>
    </row>
    <row r="222" spans="4:31" x14ac:dyDescent="0.2">
      <c r="D222" s="18"/>
      <c r="E222" s="18"/>
      <c r="F222" s="24"/>
      <c r="G222" s="25"/>
      <c r="H222" s="21"/>
      <c r="I222" s="22"/>
      <c r="J222" s="22"/>
      <c r="K222" s="22"/>
      <c r="L222" s="22"/>
      <c r="M222" s="22"/>
      <c r="N222" s="22"/>
      <c r="O222" s="22"/>
      <c r="P222" s="22"/>
      <c r="Q222" s="22"/>
      <c r="R222" s="22"/>
      <c r="S222" s="22"/>
      <c r="T222" s="22"/>
      <c r="U222" s="18"/>
      <c r="V222" s="22"/>
      <c r="W222" s="22"/>
      <c r="X222" s="22"/>
      <c r="Y222" s="22"/>
      <c r="Z222" s="22"/>
      <c r="AA222" s="22"/>
      <c r="AB222" s="22"/>
      <c r="AC222" s="22"/>
      <c r="AD222" s="22"/>
      <c r="AE222" s="18"/>
    </row>
    <row r="223" spans="4:31" x14ac:dyDescent="0.2">
      <c r="D223" s="18"/>
      <c r="E223" s="18"/>
      <c r="F223" s="24"/>
      <c r="G223" s="25"/>
      <c r="H223" s="21"/>
      <c r="I223" s="22"/>
      <c r="J223" s="22"/>
      <c r="K223" s="22"/>
      <c r="L223" s="22"/>
      <c r="M223" s="22"/>
      <c r="N223" s="22"/>
      <c r="O223" s="22"/>
      <c r="P223" s="22"/>
      <c r="Q223" s="22"/>
      <c r="R223" s="22"/>
      <c r="S223" s="22"/>
      <c r="T223" s="22"/>
      <c r="U223" s="18"/>
      <c r="V223" s="22"/>
      <c r="W223" s="22"/>
      <c r="X223" s="22"/>
      <c r="Y223" s="22"/>
      <c r="Z223" s="22"/>
      <c r="AA223" s="22"/>
      <c r="AB223" s="22"/>
      <c r="AC223" s="22"/>
      <c r="AD223" s="22"/>
      <c r="AE223" s="18"/>
    </row>
    <row r="224" spans="4:31" x14ac:dyDescent="0.2">
      <c r="D224" s="18"/>
      <c r="E224" s="18"/>
      <c r="F224" s="24"/>
      <c r="G224" s="25"/>
      <c r="H224" s="21"/>
      <c r="I224" s="22"/>
      <c r="J224" s="22"/>
      <c r="K224" s="22"/>
      <c r="L224" s="22"/>
      <c r="M224" s="22"/>
      <c r="N224" s="22"/>
      <c r="O224" s="22"/>
      <c r="P224" s="22"/>
      <c r="Q224" s="22"/>
      <c r="R224" s="22"/>
      <c r="S224" s="22"/>
      <c r="T224" s="22"/>
      <c r="U224" s="18"/>
      <c r="V224" s="22"/>
      <c r="W224" s="22"/>
      <c r="X224" s="22"/>
      <c r="Y224" s="22"/>
      <c r="Z224" s="22"/>
      <c r="AA224" s="22"/>
      <c r="AB224" s="22"/>
      <c r="AC224" s="22"/>
      <c r="AD224" s="22"/>
      <c r="AE224" s="18"/>
    </row>
    <row r="225" spans="4:31" x14ac:dyDescent="0.2">
      <c r="D225" s="18"/>
      <c r="E225" s="18"/>
      <c r="F225" s="24"/>
      <c r="G225" s="25"/>
      <c r="H225" s="21"/>
      <c r="I225" s="22"/>
      <c r="J225" s="22"/>
      <c r="K225" s="22"/>
      <c r="L225" s="22"/>
      <c r="M225" s="22"/>
      <c r="N225" s="22"/>
      <c r="O225" s="22"/>
      <c r="P225" s="22"/>
      <c r="Q225" s="22"/>
      <c r="R225" s="22"/>
      <c r="S225" s="22"/>
      <c r="T225" s="22"/>
      <c r="U225" s="18"/>
      <c r="V225" s="22"/>
      <c r="W225" s="22"/>
      <c r="X225" s="22"/>
      <c r="Y225" s="22"/>
      <c r="Z225" s="22"/>
      <c r="AA225" s="22"/>
      <c r="AB225" s="22"/>
      <c r="AC225" s="22"/>
      <c r="AD225" s="22"/>
      <c r="AE225" s="18"/>
    </row>
    <row r="226" spans="4:31" x14ac:dyDescent="0.2">
      <c r="D226" s="18"/>
      <c r="E226" s="18"/>
      <c r="F226" s="24"/>
      <c r="G226" s="25"/>
      <c r="H226" s="21"/>
      <c r="I226" s="22"/>
      <c r="J226" s="22"/>
      <c r="K226" s="22"/>
      <c r="L226" s="22"/>
      <c r="M226" s="22"/>
      <c r="N226" s="22"/>
      <c r="O226" s="22"/>
      <c r="P226" s="22"/>
      <c r="Q226" s="22"/>
      <c r="R226" s="22"/>
      <c r="S226" s="22"/>
      <c r="T226" s="22"/>
      <c r="U226" s="18"/>
      <c r="V226" s="22"/>
      <c r="W226" s="22"/>
      <c r="X226" s="22"/>
      <c r="Y226" s="22"/>
      <c r="Z226" s="22"/>
      <c r="AA226" s="22"/>
      <c r="AB226" s="22"/>
      <c r="AC226" s="22"/>
      <c r="AD226" s="22"/>
      <c r="AE226" s="18"/>
    </row>
    <row r="227" spans="4:31" x14ac:dyDescent="0.2">
      <c r="D227" s="18"/>
      <c r="E227" s="18"/>
      <c r="F227" s="24"/>
      <c r="G227" s="25"/>
      <c r="H227" s="21"/>
      <c r="I227" s="22"/>
      <c r="J227" s="22"/>
      <c r="K227" s="22"/>
      <c r="L227" s="22"/>
      <c r="M227" s="22"/>
      <c r="N227" s="22"/>
      <c r="O227" s="22"/>
      <c r="P227" s="22"/>
      <c r="Q227" s="22"/>
      <c r="R227" s="22"/>
      <c r="S227" s="22"/>
      <c r="T227" s="22"/>
      <c r="U227" s="18"/>
      <c r="V227" s="22"/>
      <c r="W227" s="22"/>
      <c r="X227" s="22"/>
      <c r="Y227" s="22"/>
      <c r="Z227" s="22"/>
      <c r="AA227" s="22"/>
      <c r="AB227" s="22"/>
      <c r="AC227" s="22"/>
      <c r="AD227" s="22"/>
      <c r="AE227" s="18"/>
    </row>
    <row r="228" spans="4:31" x14ac:dyDescent="0.2">
      <c r="D228" s="18"/>
      <c r="E228" s="18"/>
      <c r="F228" s="24"/>
      <c r="G228" s="25"/>
      <c r="H228" s="21"/>
      <c r="I228" s="22"/>
      <c r="J228" s="22"/>
      <c r="K228" s="22"/>
      <c r="L228" s="22"/>
      <c r="M228" s="22"/>
      <c r="N228" s="22"/>
      <c r="O228" s="22"/>
      <c r="P228" s="22"/>
      <c r="Q228" s="22"/>
      <c r="R228" s="22"/>
      <c r="S228" s="22"/>
      <c r="T228" s="22"/>
      <c r="U228" s="18"/>
      <c r="V228" s="22"/>
      <c r="W228" s="22"/>
      <c r="X228" s="22"/>
      <c r="Y228" s="22"/>
      <c r="Z228" s="22"/>
      <c r="AA228" s="22"/>
      <c r="AB228" s="22"/>
      <c r="AC228" s="22"/>
      <c r="AD228" s="22"/>
      <c r="AE228" s="18"/>
    </row>
    <row r="229" spans="4:31" x14ac:dyDescent="0.2">
      <c r="D229" s="18"/>
      <c r="E229" s="18"/>
      <c r="F229" s="24"/>
      <c r="G229" s="25"/>
      <c r="H229" s="21"/>
      <c r="I229" s="22"/>
      <c r="J229" s="22"/>
      <c r="K229" s="22"/>
      <c r="L229" s="22"/>
      <c r="M229" s="22"/>
      <c r="N229" s="22"/>
      <c r="O229" s="22"/>
      <c r="P229" s="22"/>
      <c r="Q229" s="22"/>
      <c r="R229" s="22"/>
      <c r="S229" s="22"/>
      <c r="T229" s="22"/>
      <c r="U229" s="18"/>
      <c r="V229" s="22"/>
      <c r="W229" s="22"/>
      <c r="X229" s="22"/>
      <c r="Y229" s="22"/>
      <c r="Z229" s="22"/>
      <c r="AA229" s="22"/>
      <c r="AB229" s="22"/>
      <c r="AC229" s="22"/>
      <c r="AD229" s="22"/>
      <c r="AE229" s="18"/>
    </row>
    <row r="230" spans="4:31" x14ac:dyDescent="0.2">
      <c r="D230" s="18"/>
      <c r="E230" s="18"/>
      <c r="F230" s="24"/>
      <c r="G230" s="25"/>
      <c r="H230" s="21"/>
      <c r="I230" s="22"/>
      <c r="J230" s="22"/>
      <c r="K230" s="22"/>
      <c r="L230" s="22"/>
      <c r="M230" s="22"/>
      <c r="N230" s="22"/>
      <c r="O230" s="22"/>
      <c r="P230" s="22"/>
      <c r="Q230" s="22"/>
      <c r="R230" s="22"/>
      <c r="S230" s="22"/>
      <c r="T230" s="22"/>
      <c r="U230" s="18"/>
      <c r="V230" s="22"/>
      <c r="W230" s="22"/>
      <c r="X230" s="22"/>
      <c r="Y230" s="22"/>
      <c r="Z230" s="22"/>
      <c r="AA230" s="22"/>
      <c r="AB230" s="22"/>
      <c r="AC230" s="22"/>
      <c r="AD230" s="22"/>
      <c r="AE230" s="18"/>
    </row>
    <row r="231" spans="4:31" x14ac:dyDescent="0.2">
      <c r="D231" s="18"/>
      <c r="E231" s="18"/>
      <c r="F231" s="24"/>
      <c r="G231" s="25"/>
      <c r="H231" s="21"/>
      <c r="I231" s="22"/>
      <c r="J231" s="22"/>
      <c r="K231" s="22"/>
      <c r="L231" s="22"/>
      <c r="M231" s="22"/>
      <c r="N231" s="22"/>
      <c r="O231" s="22"/>
      <c r="P231" s="22"/>
      <c r="Q231" s="22"/>
      <c r="R231" s="22"/>
      <c r="S231" s="22"/>
      <c r="T231" s="22"/>
      <c r="U231" s="18"/>
      <c r="V231" s="22"/>
      <c r="W231" s="22"/>
      <c r="X231" s="22"/>
      <c r="Y231" s="22"/>
      <c r="Z231" s="22"/>
      <c r="AA231" s="22"/>
      <c r="AB231" s="22"/>
      <c r="AC231" s="22"/>
      <c r="AD231" s="22"/>
      <c r="AE231" s="18"/>
    </row>
    <row r="232" spans="4:31" x14ac:dyDescent="0.2">
      <c r="D232" s="18"/>
      <c r="E232" s="18"/>
      <c r="F232" s="24"/>
      <c r="G232" s="25"/>
      <c r="H232" s="21"/>
      <c r="I232" s="22"/>
      <c r="J232" s="22"/>
      <c r="K232" s="22"/>
      <c r="L232" s="22"/>
      <c r="M232" s="22"/>
      <c r="N232" s="22"/>
      <c r="O232" s="22"/>
      <c r="P232" s="22"/>
      <c r="Q232" s="22"/>
      <c r="R232" s="22"/>
      <c r="S232" s="22"/>
      <c r="T232" s="22"/>
      <c r="U232" s="18"/>
      <c r="V232" s="22"/>
      <c r="W232" s="22"/>
      <c r="X232" s="22"/>
      <c r="Y232" s="22"/>
      <c r="Z232" s="22"/>
      <c r="AA232" s="22"/>
      <c r="AB232" s="22"/>
      <c r="AC232" s="22"/>
      <c r="AD232" s="22"/>
      <c r="AE232" s="18"/>
    </row>
    <row r="233" spans="4:31" x14ac:dyDescent="0.2">
      <c r="D233" s="18"/>
      <c r="E233" s="18"/>
      <c r="F233" s="24"/>
      <c r="G233" s="25"/>
      <c r="H233" s="21"/>
      <c r="I233" s="22"/>
      <c r="J233" s="22"/>
      <c r="K233" s="22"/>
      <c r="L233" s="22"/>
      <c r="M233" s="22"/>
      <c r="N233" s="22"/>
      <c r="O233" s="22"/>
      <c r="P233" s="22"/>
      <c r="Q233" s="22"/>
      <c r="R233" s="22"/>
      <c r="S233" s="22"/>
      <c r="T233" s="22"/>
      <c r="U233" s="18"/>
      <c r="V233" s="22"/>
      <c r="W233" s="22"/>
      <c r="X233" s="22"/>
      <c r="Y233" s="22"/>
      <c r="Z233" s="22"/>
      <c r="AA233" s="22"/>
      <c r="AB233" s="22"/>
      <c r="AC233" s="22"/>
      <c r="AD233" s="22"/>
      <c r="AE233" s="18"/>
    </row>
    <row r="234" spans="4:31" x14ac:dyDescent="0.2">
      <c r="D234" s="18"/>
      <c r="E234" s="18"/>
      <c r="F234" s="24"/>
      <c r="G234" s="25"/>
      <c r="H234" s="21"/>
      <c r="I234" s="22"/>
      <c r="J234" s="22"/>
      <c r="K234" s="22"/>
      <c r="L234" s="22"/>
      <c r="M234" s="22"/>
      <c r="N234" s="22"/>
      <c r="O234" s="22"/>
      <c r="P234" s="22"/>
      <c r="Q234" s="22"/>
      <c r="R234" s="22"/>
      <c r="S234" s="22"/>
      <c r="T234" s="22"/>
      <c r="U234" s="18"/>
      <c r="V234" s="22"/>
      <c r="W234" s="22"/>
      <c r="X234" s="22"/>
      <c r="Y234" s="22"/>
      <c r="Z234" s="22"/>
      <c r="AA234" s="22"/>
      <c r="AB234" s="22"/>
      <c r="AC234" s="22"/>
      <c r="AD234" s="22"/>
      <c r="AE234" s="18"/>
    </row>
    <row r="235" spans="4:31" x14ac:dyDescent="0.2">
      <c r="D235" s="18"/>
      <c r="E235" s="18"/>
      <c r="F235" s="24"/>
      <c r="G235" s="25"/>
      <c r="H235" s="21"/>
      <c r="I235" s="22"/>
      <c r="J235" s="22"/>
      <c r="K235" s="22"/>
      <c r="L235" s="22"/>
      <c r="M235" s="22"/>
      <c r="N235" s="22"/>
      <c r="O235" s="22"/>
      <c r="P235" s="22"/>
      <c r="Q235" s="22"/>
      <c r="R235" s="22"/>
      <c r="S235" s="22"/>
      <c r="T235" s="22"/>
      <c r="U235" s="18"/>
      <c r="V235" s="22"/>
      <c r="W235" s="22"/>
      <c r="X235" s="22"/>
      <c r="Y235" s="22"/>
      <c r="Z235" s="22"/>
      <c r="AA235" s="22"/>
      <c r="AB235" s="22"/>
      <c r="AC235" s="22"/>
      <c r="AD235" s="22"/>
      <c r="AE235" s="18"/>
    </row>
    <row r="236" spans="4:31" x14ac:dyDescent="0.2">
      <c r="D236" s="18"/>
      <c r="E236" s="18"/>
      <c r="F236" s="24"/>
      <c r="G236" s="25"/>
      <c r="H236" s="21"/>
      <c r="I236" s="22"/>
      <c r="J236" s="22"/>
      <c r="K236" s="22"/>
      <c r="L236" s="22"/>
      <c r="M236" s="22"/>
      <c r="N236" s="22"/>
      <c r="O236" s="22"/>
      <c r="P236" s="22"/>
      <c r="Q236" s="22"/>
      <c r="R236" s="22"/>
      <c r="S236" s="22"/>
      <c r="T236" s="22"/>
      <c r="U236" s="18"/>
      <c r="V236" s="22"/>
      <c r="W236" s="22"/>
      <c r="X236" s="22"/>
      <c r="Y236" s="22"/>
      <c r="Z236" s="22"/>
      <c r="AA236" s="22"/>
      <c r="AB236" s="22"/>
      <c r="AC236" s="22"/>
      <c r="AD236" s="22"/>
      <c r="AE236" s="18"/>
    </row>
    <row r="237" spans="4:31" x14ac:dyDescent="0.2">
      <c r="D237" s="18"/>
      <c r="E237" s="18"/>
      <c r="F237" s="24"/>
      <c r="G237" s="25"/>
      <c r="H237" s="21"/>
      <c r="I237" s="22"/>
      <c r="J237" s="22"/>
      <c r="K237" s="22"/>
      <c r="L237" s="22"/>
      <c r="M237" s="22"/>
      <c r="N237" s="22"/>
      <c r="O237" s="22"/>
      <c r="P237" s="22"/>
      <c r="Q237" s="22"/>
      <c r="R237" s="22"/>
      <c r="S237" s="22"/>
      <c r="T237" s="22"/>
      <c r="U237" s="18"/>
      <c r="V237" s="22"/>
      <c r="W237" s="22"/>
      <c r="X237" s="22"/>
      <c r="Y237" s="22"/>
      <c r="Z237" s="22"/>
      <c r="AA237" s="22"/>
      <c r="AB237" s="22"/>
      <c r="AC237" s="22"/>
      <c r="AD237" s="22"/>
      <c r="AE237" s="18"/>
    </row>
    <row r="238" spans="4:31" x14ac:dyDescent="0.2">
      <c r="D238" s="18"/>
      <c r="E238" s="18"/>
      <c r="F238" s="24"/>
      <c r="G238" s="25"/>
      <c r="H238" s="21"/>
      <c r="I238" s="22"/>
      <c r="J238" s="22"/>
      <c r="K238" s="22"/>
      <c r="L238" s="22"/>
      <c r="M238" s="22"/>
      <c r="N238" s="22"/>
      <c r="O238" s="22"/>
      <c r="P238" s="22"/>
      <c r="Q238" s="22"/>
      <c r="R238" s="22"/>
      <c r="S238" s="22"/>
      <c r="T238" s="22"/>
      <c r="U238" s="18"/>
      <c r="V238" s="22"/>
      <c r="W238" s="22"/>
      <c r="X238" s="22"/>
      <c r="Y238" s="22"/>
      <c r="Z238" s="22"/>
      <c r="AA238" s="22"/>
      <c r="AB238" s="22"/>
      <c r="AC238" s="22"/>
      <c r="AD238" s="22"/>
      <c r="AE238" s="18"/>
    </row>
    <row r="239" spans="4:31" x14ac:dyDescent="0.2">
      <c r="D239" s="18"/>
      <c r="E239" s="18"/>
      <c r="F239" s="24"/>
      <c r="G239" s="25"/>
      <c r="H239" s="21"/>
      <c r="I239" s="22"/>
      <c r="J239" s="22"/>
      <c r="K239" s="22"/>
      <c r="L239" s="22"/>
      <c r="M239" s="22"/>
      <c r="N239" s="22"/>
      <c r="O239" s="22"/>
      <c r="P239" s="22"/>
      <c r="Q239" s="22"/>
      <c r="R239" s="22"/>
      <c r="S239" s="22"/>
      <c r="T239" s="22"/>
      <c r="U239" s="18"/>
      <c r="V239" s="22"/>
      <c r="W239" s="22"/>
      <c r="X239" s="22"/>
      <c r="Y239" s="22"/>
      <c r="Z239" s="22"/>
      <c r="AA239" s="22"/>
      <c r="AB239" s="22"/>
      <c r="AC239" s="22"/>
      <c r="AD239" s="22"/>
      <c r="AE239" s="18"/>
    </row>
    <row r="240" spans="4:31" x14ac:dyDescent="0.2">
      <c r="D240" s="18"/>
      <c r="E240" s="18"/>
      <c r="F240" s="24"/>
      <c r="G240" s="25"/>
      <c r="H240" s="21"/>
      <c r="I240" s="22"/>
      <c r="J240" s="22"/>
      <c r="K240" s="22"/>
      <c r="L240" s="22"/>
      <c r="M240" s="22"/>
      <c r="N240" s="22"/>
      <c r="O240" s="22"/>
      <c r="P240" s="22"/>
      <c r="Q240" s="22"/>
      <c r="R240" s="22"/>
      <c r="S240" s="22"/>
      <c r="T240" s="22"/>
      <c r="U240" s="18"/>
      <c r="V240" s="22"/>
      <c r="W240" s="22"/>
      <c r="X240" s="22"/>
      <c r="Y240" s="22"/>
      <c r="Z240" s="22"/>
      <c r="AA240" s="22"/>
      <c r="AB240" s="22"/>
      <c r="AC240" s="22"/>
      <c r="AD240" s="22"/>
      <c r="AE240" s="18"/>
    </row>
    <row r="241" spans="4:31" x14ac:dyDescent="0.2">
      <c r="D241" s="18"/>
      <c r="E241" s="18"/>
      <c r="F241" s="24"/>
      <c r="G241" s="25"/>
      <c r="H241" s="21"/>
      <c r="I241" s="22"/>
      <c r="J241" s="22"/>
      <c r="K241" s="22"/>
      <c r="L241" s="22"/>
      <c r="M241" s="22"/>
      <c r="N241" s="22"/>
      <c r="O241" s="22"/>
      <c r="P241" s="22"/>
      <c r="Q241" s="22"/>
      <c r="R241" s="22"/>
      <c r="S241" s="22"/>
      <c r="T241" s="22"/>
      <c r="U241" s="18"/>
      <c r="V241" s="22"/>
      <c r="W241" s="22"/>
      <c r="X241" s="22"/>
      <c r="Y241" s="22"/>
      <c r="Z241" s="22"/>
      <c r="AA241" s="22"/>
      <c r="AB241" s="22"/>
      <c r="AC241" s="22"/>
      <c r="AD241" s="22"/>
      <c r="AE241" s="18"/>
    </row>
    <row r="242" spans="4:31" x14ac:dyDescent="0.2">
      <c r="D242" s="18"/>
      <c r="E242" s="18"/>
      <c r="F242" s="24"/>
      <c r="G242" s="25"/>
      <c r="H242" s="21"/>
      <c r="I242" s="22"/>
      <c r="J242" s="22"/>
      <c r="K242" s="22"/>
      <c r="L242" s="22"/>
      <c r="M242" s="22"/>
      <c r="N242" s="22"/>
      <c r="O242" s="22"/>
      <c r="P242" s="22"/>
      <c r="Q242" s="22"/>
      <c r="R242" s="22"/>
      <c r="S242" s="22"/>
      <c r="T242" s="22"/>
      <c r="U242" s="18"/>
      <c r="V242" s="22"/>
      <c r="W242" s="22"/>
      <c r="X242" s="22"/>
      <c r="Y242" s="22"/>
      <c r="Z242" s="22"/>
      <c r="AA242" s="22"/>
      <c r="AB242" s="22"/>
      <c r="AC242" s="22"/>
      <c r="AD242" s="22"/>
      <c r="AE242" s="18"/>
    </row>
    <row r="243" spans="4:31" x14ac:dyDescent="0.2">
      <c r="D243" s="18"/>
      <c r="E243" s="18"/>
      <c r="F243" s="24"/>
      <c r="G243" s="25"/>
      <c r="H243" s="21"/>
      <c r="I243" s="22"/>
      <c r="J243" s="22"/>
      <c r="K243" s="22"/>
      <c r="L243" s="22"/>
      <c r="M243" s="22"/>
      <c r="N243" s="22"/>
      <c r="O243" s="22"/>
      <c r="P243" s="22"/>
      <c r="Q243" s="22"/>
      <c r="R243" s="22"/>
      <c r="S243" s="22"/>
      <c r="T243" s="22"/>
      <c r="U243" s="18"/>
      <c r="V243" s="22"/>
      <c r="W243" s="22"/>
      <c r="X243" s="22"/>
      <c r="Y243" s="22"/>
      <c r="Z243" s="22"/>
      <c r="AA243" s="22"/>
      <c r="AB243" s="22"/>
      <c r="AC243" s="22"/>
      <c r="AD243" s="22"/>
      <c r="AE243" s="18"/>
    </row>
    <row r="244" spans="4:31" x14ac:dyDescent="0.2">
      <c r="D244" s="18"/>
      <c r="E244" s="18"/>
      <c r="F244" s="24"/>
      <c r="G244" s="25"/>
      <c r="H244" s="21"/>
      <c r="I244" s="22"/>
      <c r="J244" s="22"/>
      <c r="K244" s="22"/>
      <c r="L244" s="22"/>
      <c r="M244" s="22"/>
      <c r="N244" s="22"/>
      <c r="O244" s="22"/>
      <c r="P244" s="22"/>
      <c r="Q244" s="22"/>
      <c r="R244" s="22"/>
      <c r="S244" s="22"/>
      <c r="T244" s="22"/>
      <c r="U244" s="18"/>
      <c r="V244" s="22"/>
      <c r="W244" s="22"/>
      <c r="X244" s="22"/>
      <c r="Y244" s="22"/>
      <c r="Z244" s="22"/>
      <c r="AA244" s="22"/>
      <c r="AB244" s="22"/>
      <c r="AC244" s="22"/>
      <c r="AD244" s="22"/>
      <c r="AE244" s="18"/>
    </row>
    <row r="245" spans="4:31" x14ac:dyDescent="0.2">
      <c r="D245" s="18"/>
      <c r="E245" s="18"/>
      <c r="F245" s="24"/>
      <c r="G245" s="25"/>
      <c r="H245" s="21"/>
      <c r="I245" s="22"/>
      <c r="J245" s="22"/>
      <c r="K245" s="22"/>
      <c r="L245" s="22"/>
      <c r="M245" s="22"/>
      <c r="N245" s="22"/>
      <c r="O245" s="22"/>
      <c r="P245" s="22"/>
      <c r="Q245" s="22"/>
      <c r="R245" s="22"/>
      <c r="S245" s="22"/>
      <c r="T245" s="22"/>
      <c r="U245" s="18"/>
      <c r="V245" s="22"/>
      <c r="W245" s="22"/>
      <c r="X245" s="22"/>
      <c r="Y245" s="22"/>
      <c r="Z245" s="22"/>
      <c r="AA245" s="22"/>
      <c r="AB245" s="22"/>
      <c r="AC245" s="22"/>
      <c r="AD245" s="22"/>
      <c r="AE245" s="18"/>
    </row>
    <row r="246" spans="4:31" x14ac:dyDescent="0.2">
      <c r="D246" s="18"/>
      <c r="E246" s="18"/>
      <c r="F246" s="24"/>
      <c r="G246" s="25"/>
      <c r="H246" s="21"/>
      <c r="I246" s="22"/>
      <c r="J246" s="22"/>
      <c r="K246" s="22"/>
      <c r="L246" s="22"/>
      <c r="M246" s="22"/>
      <c r="N246" s="22"/>
      <c r="O246" s="22"/>
      <c r="P246" s="22"/>
      <c r="Q246" s="22"/>
      <c r="R246" s="22"/>
      <c r="S246" s="22"/>
      <c r="T246" s="22"/>
      <c r="U246" s="18"/>
      <c r="V246" s="22"/>
      <c r="W246" s="22"/>
      <c r="X246" s="22"/>
      <c r="Y246" s="22"/>
      <c r="Z246" s="22"/>
      <c r="AA246" s="22"/>
      <c r="AB246" s="22"/>
      <c r="AC246" s="22"/>
      <c r="AD246" s="22"/>
      <c r="AE246" s="18"/>
    </row>
    <row r="247" spans="4:31" x14ac:dyDescent="0.2">
      <c r="D247" s="18"/>
      <c r="E247" s="18"/>
      <c r="F247" s="24"/>
      <c r="G247" s="25"/>
      <c r="H247" s="21"/>
      <c r="I247" s="22"/>
      <c r="J247" s="22"/>
      <c r="K247" s="22"/>
      <c r="L247" s="22"/>
      <c r="M247" s="22"/>
      <c r="N247" s="22"/>
      <c r="O247" s="22"/>
      <c r="P247" s="22"/>
      <c r="Q247" s="22"/>
      <c r="R247" s="22"/>
      <c r="S247" s="22"/>
      <c r="T247" s="22"/>
      <c r="U247" s="18"/>
      <c r="V247" s="22"/>
      <c r="W247" s="22"/>
      <c r="X247" s="22"/>
      <c r="Y247" s="22"/>
      <c r="Z247" s="22"/>
      <c r="AA247" s="22"/>
      <c r="AB247" s="22"/>
      <c r="AC247" s="22"/>
      <c r="AD247" s="22"/>
      <c r="AE247" s="18"/>
    </row>
    <row r="248" spans="4:31" x14ac:dyDescent="0.2">
      <c r="D248" s="18"/>
      <c r="E248" s="18"/>
      <c r="F248" s="24"/>
      <c r="G248" s="25"/>
      <c r="H248" s="21"/>
      <c r="I248" s="22"/>
      <c r="J248" s="22"/>
      <c r="K248" s="22"/>
      <c r="L248" s="22"/>
      <c r="M248" s="22"/>
      <c r="N248" s="22"/>
      <c r="O248" s="22"/>
      <c r="P248" s="22"/>
      <c r="Q248" s="22"/>
      <c r="R248" s="22"/>
      <c r="S248" s="22"/>
      <c r="T248" s="22"/>
      <c r="U248" s="18"/>
      <c r="V248" s="22"/>
      <c r="W248" s="22"/>
      <c r="X248" s="22"/>
      <c r="Y248" s="22"/>
      <c r="Z248" s="22"/>
      <c r="AA248" s="22"/>
      <c r="AB248" s="22"/>
      <c r="AC248" s="22"/>
      <c r="AD248" s="22"/>
      <c r="AE248" s="18"/>
    </row>
    <row r="249" spans="4:31" x14ac:dyDescent="0.2">
      <c r="D249" s="18"/>
      <c r="E249" s="18"/>
      <c r="F249" s="24"/>
      <c r="G249" s="25"/>
      <c r="H249" s="21"/>
      <c r="I249" s="22"/>
      <c r="J249" s="22"/>
      <c r="K249" s="22"/>
      <c r="L249" s="22"/>
      <c r="M249" s="22"/>
      <c r="N249" s="22"/>
      <c r="O249" s="22"/>
      <c r="P249" s="22"/>
      <c r="Q249" s="22"/>
      <c r="R249" s="22"/>
      <c r="S249" s="22"/>
      <c r="T249" s="22"/>
      <c r="U249" s="18"/>
      <c r="V249" s="22"/>
      <c r="W249" s="22"/>
      <c r="X249" s="22"/>
      <c r="Y249" s="22"/>
      <c r="Z249" s="22"/>
      <c r="AA249" s="22"/>
      <c r="AB249" s="22"/>
      <c r="AC249" s="22"/>
      <c r="AD249" s="22"/>
      <c r="AE249" s="18"/>
    </row>
    <row r="250" spans="4:31" x14ac:dyDescent="0.2">
      <c r="D250" s="18"/>
      <c r="E250" s="18"/>
      <c r="F250" s="24"/>
      <c r="G250" s="25"/>
      <c r="H250" s="21"/>
      <c r="I250" s="22"/>
      <c r="J250" s="22"/>
      <c r="K250" s="22"/>
      <c r="L250" s="22"/>
      <c r="M250" s="22"/>
      <c r="N250" s="22"/>
      <c r="O250" s="22"/>
      <c r="P250" s="22"/>
      <c r="Q250" s="22"/>
      <c r="R250" s="22"/>
      <c r="S250" s="22"/>
      <c r="T250" s="22"/>
      <c r="U250" s="18"/>
      <c r="V250" s="22"/>
      <c r="W250" s="22"/>
      <c r="X250" s="22"/>
      <c r="Y250" s="22"/>
      <c r="Z250" s="22"/>
      <c r="AA250" s="22"/>
      <c r="AB250" s="22"/>
      <c r="AC250" s="22"/>
      <c r="AD250" s="22"/>
      <c r="AE250" s="18"/>
    </row>
    <row r="251" spans="4:31" x14ac:dyDescent="0.2">
      <c r="D251" s="18"/>
      <c r="E251" s="18"/>
      <c r="F251" s="24"/>
      <c r="G251" s="25"/>
      <c r="H251" s="21"/>
      <c r="I251" s="22"/>
      <c r="J251" s="22"/>
      <c r="K251" s="22"/>
      <c r="L251" s="22"/>
      <c r="M251" s="22"/>
      <c r="N251" s="22"/>
      <c r="O251" s="22"/>
      <c r="P251" s="22"/>
      <c r="Q251" s="22"/>
      <c r="R251" s="22"/>
      <c r="S251" s="22"/>
      <c r="T251" s="22"/>
      <c r="U251" s="18"/>
      <c r="V251" s="22"/>
      <c r="W251" s="22"/>
      <c r="X251" s="22"/>
      <c r="Y251" s="22"/>
      <c r="Z251" s="22"/>
      <c r="AA251" s="22"/>
      <c r="AB251" s="22"/>
      <c r="AC251" s="22"/>
      <c r="AD251" s="22"/>
      <c r="AE251" s="18"/>
    </row>
    <row r="252" spans="4:31" x14ac:dyDescent="0.2">
      <c r="D252" s="18"/>
      <c r="E252" s="18"/>
      <c r="F252" s="24"/>
      <c r="G252" s="25"/>
      <c r="H252" s="21"/>
      <c r="I252" s="22"/>
      <c r="J252" s="22"/>
      <c r="K252" s="22"/>
      <c r="L252" s="22"/>
      <c r="M252" s="22"/>
      <c r="N252" s="22"/>
      <c r="O252" s="22"/>
      <c r="P252" s="22"/>
      <c r="Q252" s="22"/>
      <c r="R252" s="22"/>
      <c r="S252" s="22"/>
      <c r="T252" s="22"/>
      <c r="U252" s="18"/>
      <c r="V252" s="22"/>
      <c r="W252" s="22"/>
      <c r="X252" s="22"/>
      <c r="Y252" s="22"/>
      <c r="Z252" s="22"/>
      <c r="AA252" s="22"/>
      <c r="AB252" s="22"/>
      <c r="AC252" s="22"/>
      <c r="AD252" s="22"/>
      <c r="AE252" s="18"/>
    </row>
    <row r="253" spans="4:31" x14ac:dyDescent="0.2">
      <c r="D253" s="18"/>
      <c r="E253" s="18"/>
      <c r="F253" s="24"/>
      <c r="G253" s="25"/>
      <c r="H253" s="21"/>
      <c r="I253" s="22"/>
      <c r="J253" s="22"/>
      <c r="K253" s="22"/>
      <c r="L253" s="22"/>
      <c r="M253" s="22"/>
      <c r="N253" s="22"/>
      <c r="O253" s="22"/>
      <c r="P253" s="22"/>
      <c r="Q253" s="22"/>
      <c r="R253" s="22"/>
      <c r="S253" s="22"/>
      <c r="T253" s="22"/>
      <c r="U253" s="18"/>
      <c r="V253" s="22"/>
      <c r="W253" s="22"/>
      <c r="X253" s="22"/>
      <c r="Y253" s="22"/>
      <c r="Z253" s="22"/>
      <c r="AA253" s="22"/>
      <c r="AB253" s="22"/>
      <c r="AC253" s="22"/>
      <c r="AD253" s="22"/>
      <c r="AE253" s="18"/>
    </row>
    <row r="254" spans="4:31" x14ac:dyDescent="0.2">
      <c r="D254" s="18"/>
      <c r="E254" s="18"/>
      <c r="F254" s="24"/>
      <c r="G254" s="25"/>
      <c r="H254" s="21"/>
      <c r="I254" s="22"/>
      <c r="J254" s="22"/>
      <c r="K254" s="22"/>
      <c r="L254" s="22"/>
      <c r="M254" s="22"/>
      <c r="N254" s="22"/>
      <c r="O254" s="22"/>
      <c r="P254" s="22"/>
      <c r="Q254" s="22"/>
      <c r="R254" s="22"/>
      <c r="S254" s="22"/>
      <c r="T254" s="22"/>
      <c r="U254" s="18"/>
      <c r="V254" s="22"/>
      <c r="W254" s="22"/>
      <c r="X254" s="22"/>
      <c r="Y254" s="22"/>
      <c r="Z254" s="22"/>
      <c r="AA254" s="22"/>
      <c r="AB254" s="22"/>
      <c r="AC254" s="22"/>
      <c r="AD254" s="22"/>
      <c r="AE254" s="18"/>
    </row>
    <row r="255" spans="4:31" x14ac:dyDescent="0.2">
      <c r="D255" s="18"/>
      <c r="E255" s="18"/>
      <c r="F255" s="24"/>
      <c r="G255" s="25"/>
      <c r="H255" s="21"/>
      <c r="I255" s="22"/>
      <c r="J255" s="22"/>
      <c r="K255" s="22"/>
      <c r="L255" s="22"/>
      <c r="M255" s="22"/>
      <c r="N255" s="22"/>
      <c r="O255" s="22"/>
      <c r="P255" s="22"/>
      <c r="Q255" s="22"/>
      <c r="R255" s="22"/>
      <c r="S255" s="22"/>
      <c r="T255" s="22"/>
      <c r="U255" s="18"/>
      <c r="V255" s="22"/>
      <c r="W255" s="22"/>
      <c r="X255" s="22"/>
      <c r="Y255" s="22"/>
      <c r="Z255" s="22"/>
      <c r="AA255" s="22"/>
      <c r="AB255" s="22"/>
      <c r="AC255" s="22"/>
      <c r="AD255" s="22"/>
      <c r="AE255" s="18"/>
    </row>
    <row r="256" spans="4:31" x14ac:dyDescent="0.2">
      <c r="D256" s="18"/>
      <c r="E256" s="18"/>
      <c r="F256" s="24"/>
      <c r="G256" s="25"/>
      <c r="H256" s="21"/>
      <c r="I256" s="22"/>
      <c r="J256" s="22"/>
      <c r="K256" s="22"/>
      <c r="L256" s="22"/>
      <c r="M256" s="22"/>
      <c r="N256" s="22"/>
      <c r="O256" s="22"/>
      <c r="P256" s="22"/>
      <c r="Q256" s="22"/>
      <c r="R256" s="22"/>
      <c r="S256" s="22"/>
      <c r="T256" s="22"/>
      <c r="U256" s="18"/>
      <c r="V256" s="22"/>
      <c r="W256" s="22"/>
      <c r="X256" s="22"/>
      <c r="Y256" s="22"/>
      <c r="Z256" s="22"/>
      <c r="AA256" s="22"/>
      <c r="AB256" s="22"/>
      <c r="AC256" s="22"/>
      <c r="AD256" s="22"/>
      <c r="AE256" s="18"/>
    </row>
    <row r="257" spans="4:31" x14ac:dyDescent="0.2">
      <c r="D257" s="18"/>
      <c r="E257" s="18"/>
      <c r="F257" s="24"/>
      <c r="G257" s="25"/>
      <c r="H257" s="21"/>
      <c r="I257" s="22"/>
      <c r="J257" s="22"/>
      <c r="K257" s="22"/>
      <c r="L257" s="22"/>
      <c r="M257" s="22"/>
      <c r="N257" s="22"/>
      <c r="O257" s="22"/>
      <c r="P257" s="22"/>
      <c r="Q257" s="22"/>
      <c r="R257" s="22"/>
      <c r="S257" s="22"/>
      <c r="T257" s="22"/>
      <c r="U257" s="18"/>
      <c r="V257" s="22"/>
      <c r="W257" s="22"/>
      <c r="X257" s="22"/>
      <c r="Y257" s="22"/>
      <c r="Z257" s="22"/>
      <c r="AA257" s="22"/>
      <c r="AB257" s="22"/>
      <c r="AC257" s="22"/>
      <c r="AD257" s="22"/>
      <c r="AE257" s="18"/>
    </row>
    <row r="258" spans="4:31" x14ac:dyDescent="0.2">
      <c r="D258" s="18"/>
      <c r="E258" s="18"/>
      <c r="F258" s="24"/>
      <c r="G258" s="25"/>
      <c r="H258" s="21"/>
      <c r="I258" s="22"/>
      <c r="J258" s="22"/>
      <c r="K258" s="22"/>
      <c r="L258" s="22"/>
      <c r="M258" s="22"/>
      <c r="N258" s="22"/>
      <c r="O258" s="22"/>
      <c r="P258" s="22"/>
      <c r="Q258" s="22"/>
      <c r="R258" s="22"/>
      <c r="S258" s="22"/>
      <c r="T258" s="22"/>
      <c r="U258" s="18"/>
      <c r="V258" s="22"/>
      <c r="W258" s="22"/>
      <c r="X258" s="22"/>
      <c r="Y258" s="22"/>
      <c r="Z258" s="22"/>
      <c r="AA258" s="22"/>
      <c r="AB258" s="22"/>
      <c r="AC258" s="22"/>
      <c r="AD258" s="22"/>
      <c r="AE258" s="18"/>
    </row>
    <row r="259" spans="4:31" x14ac:dyDescent="0.2">
      <c r="D259" s="18"/>
      <c r="E259" s="18"/>
      <c r="F259" s="24"/>
      <c r="G259" s="25"/>
      <c r="H259" s="21"/>
      <c r="I259" s="22"/>
      <c r="J259" s="22"/>
      <c r="K259" s="22"/>
      <c r="L259" s="22"/>
      <c r="M259" s="22"/>
      <c r="N259" s="22"/>
      <c r="O259" s="22"/>
      <c r="P259" s="22"/>
      <c r="Q259" s="22"/>
      <c r="R259" s="22"/>
      <c r="S259" s="22"/>
      <c r="T259" s="22"/>
      <c r="U259" s="18"/>
      <c r="V259" s="22"/>
      <c r="W259" s="22"/>
      <c r="X259" s="22"/>
      <c r="Y259" s="22"/>
      <c r="Z259" s="22"/>
      <c r="AA259" s="22"/>
      <c r="AB259" s="22"/>
      <c r="AC259" s="22"/>
      <c r="AD259" s="22"/>
      <c r="AE259" s="18"/>
    </row>
    <row r="260" spans="4:31" x14ac:dyDescent="0.2">
      <c r="D260" s="18"/>
      <c r="E260" s="18"/>
      <c r="F260" s="24"/>
      <c r="G260" s="25"/>
      <c r="H260" s="21"/>
      <c r="I260" s="22"/>
      <c r="J260" s="22"/>
      <c r="K260" s="22"/>
      <c r="L260" s="22"/>
      <c r="M260" s="22"/>
      <c r="N260" s="22"/>
      <c r="O260" s="22"/>
      <c r="P260" s="22"/>
      <c r="Q260" s="22"/>
      <c r="R260" s="22"/>
      <c r="S260" s="22"/>
      <c r="T260" s="22"/>
      <c r="U260" s="18"/>
      <c r="V260" s="22"/>
      <c r="W260" s="22"/>
      <c r="X260" s="22"/>
      <c r="Y260" s="22"/>
      <c r="Z260" s="22"/>
      <c r="AA260" s="22"/>
      <c r="AB260" s="22"/>
      <c r="AC260" s="22"/>
      <c r="AD260" s="22"/>
      <c r="AE260" s="18"/>
    </row>
    <row r="261" spans="4:31" x14ac:dyDescent="0.2">
      <c r="D261" s="18"/>
      <c r="E261" s="18"/>
      <c r="F261" s="24"/>
      <c r="G261" s="25"/>
      <c r="H261" s="21"/>
      <c r="I261" s="22"/>
      <c r="J261" s="22"/>
      <c r="K261" s="22"/>
      <c r="L261" s="22"/>
      <c r="M261" s="22"/>
      <c r="N261" s="22"/>
      <c r="O261" s="22"/>
      <c r="P261" s="22"/>
      <c r="Q261" s="22"/>
      <c r="R261" s="22"/>
      <c r="S261" s="22"/>
      <c r="T261" s="22"/>
      <c r="U261" s="18"/>
      <c r="V261" s="22"/>
      <c r="W261" s="22"/>
      <c r="X261" s="22"/>
      <c r="Y261" s="22"/>
      <c r="Z261" s="22"/>
      <c r="AA261" s="22"/>
      <c r="AB261" s="22"/>
      <c r="AC261" s="22"/>
      <c r="AD261" s="22"/>
      <c r="AE261" s="18"/>
    </row>
    <row r="262" spans="4:31" x14ac:dyDescent="0.2">
      <c r="D262" s="18"/>
      <c r="E262" s="18"/>
      <c r="F262" s="24"/>
      <c r="G262" s="25"/>
      <c r="H262" s="21"/>
      <c r="I262" s="22"/>
      <c r="J262" s="22"/>
      <c r="K262" s="22"/>
      <c r="L262" s="22"/>
      <c r="M262" s="22"/>
      <c r="N262" s="22"/>
      <c r="O262" s="22"/>
      <c r="P262" s="22"/>
      <c r="Q262" s="22"/>
      <c r="R262" s="22"/>
      <c r="S262" s="22"/>
      <c r="T262" s="22"/>
      <c r="U262" s="18"/>
      <c r="V262" s="22"/>
      <c r="W262" s="22"/>
      <c r="X262" s="22"/>
      <c r="Y262" s="22"/>
      <c r="Z262" s="22"/>
      <c r="AA262" s="22"/>
      <c r="AB262" s="22"/>
      <c r="AC262" s="22"/>
      <c r="AD262" s="22"/>
      <c r="AE262" s="18"/>
    </row>
    <row r="263" spans="4:31" x14ac:dyDescent="0.2">
      <c r="D263" s="18"/>
      <c r="E263" s="18"/>
      <c r="F263" s="24"/>
      <c r="G263" s="25"/>
      <c r="H263" s="21"/>
      <c r="I263" s="22"/>
      <c r="J263" s="22"/>
      <c r="K263" s="22"/>
      <c r="L263" s="22"/>
      <c r="M263" s="22"/>
      <c r="N263" s="22"/>
      <c r="O263" s="22"/>
      <c r="P263" s="22"/>
      <c r="Q263" s="22"/>
      <c r="R263" s="22"/>
      <c r="S263" s="22"/>
      <c r="T263" s="22"/>
      <c r="U263" s="18"/>
      <c r="V263" s="22"/>
      <c r="W263" s="22"/>
      <c r="X263" s="22"/>
      <c r="Y263" s="22"/>
      <c r="Z263" s="22"/>
      <c r="AA263" s="22"/>
      <c r="AB263" s="22"/>
      <c r="AC263" s="22"/>
      <c r="AD263" s="22"/>
      <c r="AE263" s="18"/>
    </row>
    <row r="264" spans="4:31" x14ac:dyDescent="0.2">
      <c r="D264" s="18"/>
      <c r="E264" s="18"/>
      <c r="F264" s="24"/>
      <c r="G264" s="25"/>
      <c r="H264" s="21"/>
      <c r="I264" s="22"/>
      <c r="J264" s="22"/>
      <c r="K264" s="22"/>
      <c r="L264" s="22"/>
      <c r="M264" s="22"/>
      <c r="N264" s="22"/>
      <c r="O264" s="22"/>
      <c r="P264" s="22"/>
      <c r="Q264" s="22"/>
      <c r="R264" s="22"/>
      <c r="S264" s="22"/>
      <c r="T264" s="22"/>
      <c r="U264" s="18"/>
      <c r="V264" s="22"/>
      <c r="W264" s="22"/>
      <c r="X264" s="22"/>
      <c r="Y264" s="22"/>
      <c r="Z264" s="22"/>
      <c r="AA264" s="22"/>
      <c r="AB264" s="22"/>
      <c r="AC264" s="22"/>
      <c r="AD264" s="22"/>
      <c r="AE264" s="18"/>
    </row>
    <row r="265" spans="4:31" x14ac:dyDescent="0.2">
      <c r="D265" s="18"/>
      <c r="E265" s="18"/>
      <c r="F265" s="24"/>
      <c r="G265" s="25"/>
      <c r="H265" s="21"/>
      <c r="I265" s="22"/>
      <c r="J265" s="22"/>
      <c r="K265" s="22"/>
      <c r="L265" s="22"/>
      <c r="M265" s="22"/>
      <c r="N265" s="22"/>
      <c r="O265" s="22"/>
      <c r="P265" s="22"/>
      <c r="Q265" s="22"/>
      <c r="R265" s="22"/>
      <c r="S265" s="22"/>
      <c r="T265" s="22"/>
      <c r="U265" s="18"/>
      <c r="V265" s="22"/>
      <c r="W265" s="22"/>
      <c r="X265" s="22"/>
      <c r="Y265" s="22"/>
      <c r="Z265" s="22"/>
      <c r="AA265" s="22"/>
      <c r="AB265" s="22"/>
      <c r="AC265" s="22"/>
      <c r="AD265" s="22"/>
      <c r="AE265" s="18"/>
    </row>
    <row r="266" spans="4:31" x14ac:dyDescent="0.2">
      <c r="D266" s="18"/>
      <c r="E266" s="18"/>
      <c r="F266" s="24"/>
      <c r="G266" s="25"/>
      <c r="H266" s="21"/>
      <c r="I266" s="22"/>
      <c r="J266" s="22"/>
      <c r="K266" s="22"/>
      <c r="L266" s="22"/>
      <c r="M266" s="22"/>
      <c r="N266" s="22"/>
      <c r="O266" s="22"/>
      <c r="P266" s="22"/>
      <c r="Q266" s="22"/>
      <c r="R266" s="22"/>
      <c r="S266" s="22"/>
      <c r="T266" s="22"/>
      <c r="U266" s="18"/>
      <c r="V266" s="22"/>
      <c r="W266" s="22"/>
      <c r="X266" s="22"/>
      <c r="Y266" s="22"/>
      <c r="Z266" s="22"/>
      <c r="AA266" s="22"/>
      <c r="AB266" s="22"/>
      <c r="AC266" s="22"/>
      <c r="AD266" s="22"/>
      <c r="AE266" s="18"/>
    </row>
    <row r="267" spans="4:31" x14ac:dyDescent="0.2">
      <c r="D267" s="18"/>
      <c r="E267" s="18"/>
      <c r="F267" s="24"/>
      <c r="G267" s="25"/>
      <c r="H267" s="21"/>
      <c r="I267" s="22"/>
      <c r="J267" s="22"/>
      <c r="K267" s="22"/>
      <c r="L267" s="22"/>
      <c r="M267" s="22"/>
      <c r="N267" s="22"/>
      <c r="O267" s="22"/>
      <c r="P267" s="22"/>
      <c r="Q267" s="22"/>
      <c r="R267" s="22"/>
      <c r="S267" s="22"/>
      <c r="T267" s="22"/>
      <c r="U267" s="18"/>
      <c r="V267" s="22"/>
      <c r="W267" s="22"/>
      <c r="X267" s="22"/>
      <c r="Y267" s="22"/>
      <c r="Z267" s="22"/>
      <c r="AA267" s="22"/>
      <c r="AB267" s="22"/>
      <c r="AC267" s="22"/>
      <c r="AD267" s="22"/>
      <c r="AE267" s="18"/>
    </row>
    <row r="268" spans="4:31" x14ac:dyDescent="0.2">
      <c r="D268" s="18"/>
      <c r="E268" s="18"/>
      <c r="F268" s="24"/>
      <c r="G268" s="25"/>
      <c r="H268" s="21"/>
      <c r="I268" s="22"/>
      <c r="J268" s="22"/>
      <c r="K268" s="22"/>
      <c r="L268" s="22"/>
      <c r="M268" s="22"/>
      <c r="N268" s="22"/>
      <c r="O268" s="22"/>
      <c r="P268" s="22"/>
      <c r="Q268" s="22"/>
      <c r="R268" s="22"/>
      <c r="S268" s="22"/>
      <c r="T268" s="22"/>
      <c r="U268" s="18"/>
      <c r="V268" s="22"/>
      <c r="W268" s="22"/>
      <c r="X268" s="22"/>
      <c r="Y268" s="22"/>
      <c r="Z268" s="22"/>
      <c r="AA268" s="22"/>
      <c r="AB268" s="22"/>
      <c r="AC268" s="22"/>
      <c r="AD268" s="22"/>
      <c r="AE268" s="18"/>
    </row>
    <row r="269" spans="4:31" x14ac:dyDescent="0.2">
      <c r="D269" s="18"/>
      <c r="E269" s="18"/>
      <c r="F269" s="24"/>
      <c r="G269" s="25"/>
      <c r="H269" s="21"/>
      <c r="I269" s="22"/>
      <c r="J269" s="22"/>
      <c r="K269" s="22"/>
      <c r="L269" s="22"/>
      <c r="M269" s="22"/>
      <c r="N269" s="22"/>
      <c r="O269" s="22"/>
      <c r="P269" s="22"/>
      <c r="Q269" s="22"/>
      <c r="R269" s="22"/>
      <c r="S269" s="22"/>
      <c r="T269" s="22"/>
      <c r="U269" s="18"/>
      <c r="V269" s="22"/>
      <c r="W269" s="22"/>
      <c r="X269" s="22"/>
      <c r="Y269" s="22"/>
      <c r="Z269" s="22"/>
      <c r="AA269" s="22"/>
      <c r="AB269" s="22"/>
      <c r="AC269" s="22"/>
      <c r="AD269" s="22"/>
      <c r="AE269" s="18"/>
    </row>
    <row r="270" spans="4:31" x14ac:dyDescent="0.2">
      <c r="D270" s="18"/>
      <c r="E270" s="18"/>
      <c r="F270" s="24"/>
      <c r="G270" s="25"/>
      <c r="H270" s="21"/>
      <c r="I270" s="22"/>
      <c r="J270" s="22"/>
      <c r="K270" s="22"/>
      <c r="L270" s="22"/>
      <c r="M270" s="22"/>
      <c r="N270" s="22"/>
      <c r="O270" s="22"/>
      <c r="P270" s="22"/>
      <c r="Q270" s="22"/>
      <c r="R270" s="22"/>
      <c r="S270" s="22"/>
      <c r="T270" s="22"/>
      <c r="U270" s="18"/>
      <c r="V270" s="22"/>
      <c r="W270" s="22"/>
      <c r="X270" s="22"/>
      <c r="Y270" s="22"/>
      <c r="Z270" s="22"/>
      <c r="AA270" s="22"/>
      <c r="AB270" s="22"/>
      <c r="AC270" s="22"/>
      <c r="AD270" s="22"/>
      <c r="AE270" s="18"/>
    </row>
    <row r="271" spans="4:31" x14ac:dyDescent="0.2">
      <c r="D271" s="18"/>
      <c r="E271" s="18"/>
      <c r="F271" s="24"/>
      <c r="G271" s="25"/>
      <c r="H271" s="21"/>
      <c r="I271" s="22"/>
      <c r="J271" s="22"/>
      <c r="K271" s="22"/>
      <c r="L271" s="22"/>
      <c r="M271" s="22"/>
      <c r="N271" s="22"/>
      <c r="O271" s="22"/>
      <c r="P271" s="22"/>
      <c r="Q271" s="22"/>
      <c r="R271" s="22"/>
      <c r="S271" s="22"/>
      <c r="T271" s="22"/>
      <c r="U271" s="18"/>
      <c r="V271" s="22"/>
      <c r="W271" s="22"/>
      <c r="X271" s="22"/>
      <c r="Y271" s="22"/>
      <c r="Z271" s="22"/>
      <c r="AA271" s="22"/>
      <c r="AB271" s="22"/>
      <c r="AC271" s="22"/>
      <c r="AD271" s="22"/>
      <c r="AE271" s="18"/>
    </row>
    <row r="272" spans="4:31" x14ac:dyDescent="0.2">
      <c r="D272" s="18"/>
      <c r="E272" s="18"/>
      <c r="F272" s="24"/>
      <c r="G272" s="25"/>
      <c r="H272" s="21"/>
      <c r="I272" s="22"/>
      <c r="J272" s="22"/>
      <c r="K272" s="22"/>
      <c r="L272" s="22"/>
      <c r="M272" s="22"/>
      <c r="N272" s="22"/>
      <c r="O272" s="22"/>
      <c r="P272" s="22"/>
      <c r="Q272" s="22"/>
      <c r="R272" s="22"/>
      <c r="S272" s="22"/>
      <c r="T272" s="22"/>
      <c r="U272" s="18"/>
      <c r="V272" s="22"/>
      <c r="W272" s="22"/>
      <c r="X272" s="22"/>
      <c r="Y272" s="22"/>
      <c r="Z272" s="22"/>
      <c r="AA272" s="22"/>
      <c r="AB272" s="22"/>
      <c r="AC272" s="22"/>
      <c r="AD272" s="22"/>
      <c r="AE272" s="18"/>
    </row>
    <row r="273" spans="4:31" x14ac:dyDescent="0.2">
      <c r="D273" s="18"/>
      <c r="E273" s="18"/>
      <c r="F273" s="24"/>
      <c r="G273" s="25"/>
      <c r="H273" s="21"/>
      <c r="I273" s="22"/>
      <c r="J273" s="22"/>
      <c r="K273" s="22"/>
      <c r="L273" s="22"/>
      <c r="M273" s="22"/>
      <c r="N273" s="22"/>
      <c r="O273" s="22"/>
      <c r="P273" s="22"/>
      <c r="Q273" s="22"/>
      <c r="R273" s="22"/>
      <c r="S273" s="22"/>
      <c r="T273" s="22"/>
      <c r="U273" s="18"/>
      <c r="V273" s="22"/>
      <c r="W273" s="22"/>
      <c r="X273" s="22"/>
      <c r="Y273" s="22"/>
      <c r="Z273" s="22"/>
      <c r="AA273" s="22"/>
      <c r="AB273" s="22"/>
      <c r="AC273" s="22"/>
      <c r="AD273" s="22"/>
      <c r="AE273" s="18"/>
    </row>
    <row r="274" spans="4:31" x14ac:dyDescent="0.2">
      <c r="D274" s="18"/>
      <c r="E274" s="18"/>
      <c r="F274" s="24"/>
      <c r="G274" s="25"/>
      <c r="H274" s="21"/>
      <c r="I274" s="22"/>
      <c r="J274" s="22"/>
      <c r="K274" s="22"/>
      <c r="L274" s="22"/>
      <c r="M274" s="22"/>
      <c r="N274" s="22"/>
      <c r="O274" s="22"/>
      <c r="P274" s="22"/>
      <c r="Q274" s="22"/>
      <c r="R274" s="22"/>
      <c r="S274" s="22"/>
      <c r="T274" s="22"/>
      <c r="U274" s="18"/>
      <c r="V274" s="22"/>
      <c r="W274" s="22"/>
      <c r="X274" s="22"/>
      <c r="Y274" s="22"/>
      <c r="Z274" s="22"/>
      <c r="AA274" s="22"/>
      <c r="AB274" s="22"/>
      <c r="AC274" s="22"/>
      <c r="AD274" s="22"/>
      <c r="AE274" s="18"/>
    </row>
    <row r="275" spans="4:31" x14ac:dyDescent="0.2">
      <c r="D275" s="18"/>
      <c r="E275" s="18"/>
      <c r="F275" s="24"/>
      <c r="G275" s="25"/>
      <c r="H275" s="21"/>
      <c r="I275" s="22"/>
      <c r="J275" s="22"/>
      <c r="K275" s="22"/>
      <c r="L275" s="22"/>
      <c r="M275" s="22"/>
      <c r="N275" s="22"/>
      <c r="O275" s="22"/>
      <c r="P275" s="22"/>
      <c r="Q275" s="22"/>
      <c r="R275" s="22"/>
      <c r="S275" s="22"/>
      <c r="T275" s="22"/>
      <c r="U275" s="18"/>
      <c r="V275" s="22"/>
      <c r="W275" s="22"/>
      <c r="X275" s="22"/>
      <c r="Y275" s="22"/>
      <c r="Z275" s="22"/>
      <c r="AA275" s="22"/>
      <c r="AB275" s="22"/>
      <c r="AC275" s="22"/>
      <c r="AD275" s="22"/>
      <c r="AE275" s="18"/>
    </row>
    <row r="276" spans="4:31" x14ac:dyDescent="0.2">
      <c r="D276" s="18"/>
      <c r="E276" s="18"/>
      <c r="F276" s="24"/>
      <c r="G276" s="25"/>
      <c r="H276" s="21"/>
      <c r="I276" s="22"/>
      <c r="J276" s="22"/>
      <c r="K276" s="22"/>
      <c r="L276" s="22"/>
      <c r="M276" s="22"/>
      <c r="N276" s="22"/>
      <c r="O276" s="22"/>
      <c r="P276" s="22"/>
      <c r="Q276" s="22"/>
      <c r="R276" s="22"/>
      <c r="S276" s="22"/>
      <c r="T276" s="22"/>
      <c r="U276" s="18"/>
      <c r="V276" s="22"/>
      <c r="W276" s="22"/>
      <c r="X276" s="22"/>
      <c r="Y276" s="22"/>
      <c r="Z276" s="22"/>
      <c r="AA276" s="22"/>
      <c r="AB276" s="22"/>
      <c r="AC276" s="22"/>
      <c r="AD276" s="22"/>
      <c r="AE276" s="18"/>
    </row>
    <row r="277" spans="4:31" x14ac:dyDescent="0.2">
      <c r="D277" s="18"/>
      <c r="E277" s="18"/>
      <c r="F277" s="24"/>
      <c r="G277" s="25"/>
      <c r="H277" s="21"/>
      <c r="I277" s="22"/>
      <c r="J277" s="22"/>
      <c r="K277" s="22"/>
      <c r="L277" s="22"/>
      <c r="M277" s="22"/>
      <c r="N277" s="22"/>
      <c r="O277" s="22"/>
      <c r="P277" s="22"/>
      <c r="Q277" s="22"/>
      <c r="R277" s="22"/>
      <c r="S277" s="22"/>
      <c r="T277" s="22"/>
      <c r="U277" s="18"/>
      <c r="V277" s="22"/>
      <c r="W277" s="22"/>
      <c r="X277" s="22"/>
      <c r="Y277" s="22"/>
      <c r="Z277" s="22"/>
      <c r="AA277" s="22"/>
      <c r="AB277" s="22"/>
      <c r="AC277" s="22"/>
      <c r="AD277" s="22"/>
      <c r="AE277" s="18"/>
    </row>
    <row r="278" spans="4:31" x14ac:dyDescent="0.2">
      <c r="D278" s="18"/>
      <c r="E278" s="18"/>
      <c r="F278" s="24"/>
      <c r="G278" s="25"/>
      <c r="H278" s="21"/>
      <c r="I278" s="22"/>
      <c r="J278" s="22"/>
      <c r="K278" s="22"/>
      <c r="L278" s="22"/>
      <c r="M278" s="22"/>
      <c r="N278" s="22"/>
      <c r="O278" s="22"/>
      <c r="P278" s="22"/>
      <c r="Q278" s="22"/>
      <c r="R278" s="22"/>
      <c r="S278" s="22"/>
      <c r="T278" s="22"/>
      <c r="U278" s="18"/>
      <c r="V278" s="22"/>
      <c r="W278" s="22"/>
      <c r="X278" s="22"/>
      <c r="Y278" s="22"/>
      <c r="Z278" s="22"/>
      <c r="AA278" s="22"/>
      <c r="AB278" s="22"/>
      <c r="AC278" s="22"/>
      <c r="AD278" s="22"/>
      <c r="AE278" s="18"/>
    </row>
    <row r="279" spans="4:31" x14ac:dyDescent="0.2">
      <c r="D279" s="18"/>
      <c r="E279" s="18"/>
      <c r="F279" s="24"/>
      <c r="G279" s="25"/>
      <c r="H279" s="21"/>
      <c r="I279" s="22"/>
      <c r="J279" s="22"/>
      <c r="K279" s="22"/>
      <c r="L279" s="22"/>
      <c r="M279" s="22"/>
      <c r="N279" s="22"/>
      <c r="O279" s="22"/>
      <c r="P279" s="22"/>
      <c r="Q279" s="22"/>
      <c r="R279" s="22"/>
      <c r="S279" s="22"/>
      <c r="T279" s="22"/>
      <c r="U279" s="18"/>
      <c r="V279" s="22"/>
      <c r="W279" s="22"/>
      <c r="X279" s="22"/>
      <c r="Y279" s="22"/>
      <c r="Z279" s="22"/>
      <c r="AA279" s="22"/>
      <c r="AB279" s="22"/>
      <c r="AC279" s="22"/>
      <c r="AD279" s="22"/>
      <c r="AE279" s="18"/>
    </row>
    <row r="280" spans="4:31" x14ac:dyDescent="0.2">
      <c r="D280" s="18"/>
      <c r="E280" s="18"/>
      <c r="F280" s="24"/>
      <c r="G280" s="25"/>
      <c r="H280" s="21"/>
      <c r="I280" s="22"/>
      <c r="J280" s="22"/>
      <c r="K280" s="22"/>
      <c r="L280" s="22"/>
      <c r="M280" s="22"/>
      <c r="N280" s="22"/>
      <c r="O280" s="22"/>
      <c r="P280" s="22"/>
      <c r="Q280" s="22"/>
      <c r="R280" s="22"/>
      <c r="S280" s="22"/>
      <c r="T280" s="22"/>
      <c r="U280" s="18"/>
      <c r="V280" s="22"/>
      <c r="W280" s="22"/>
      <c r="X280" s="22"/>
      <c r="Y280" s="22"/>
      <c r="Z280" s="22"/>
      <c r="AA280" s="22"/>
      <c r="AB280" s="22"/>
      <c r="AC280" s="22"/>
      <c r="AD280" s="22"/>
      <c r="AE280" s="18"/>
    </row>
    <row r="281" spans="4:31" x14ac:dyDescent="0.2">
      <c r="D281" s="18"/>
      <c r="E281" s="18"/>
      <c r="F281" s="24"/>
      <c r="G281" s="25"/>
      <c r="H281" s="21"/>
      <c r="I281" s="22"/>
      <c r="J281" s="22"/>
      <c r="K281" s="22"/>
      <c r="L281" s="22"/>
      <c r="M281" s="22"/>
      <c r="N281" s="22"/>
      <c r="O281" s="22"/>
      <c r="P281" s="22"/>
      <c r="Q281" s="22"/>
      <c r="R281" s="22"/>
      <c r="S281" s="22"/>
      <c r="T281" s="22"/>
      <c r="U281" s="18"/>
      <c r="V281" s="22"/>
      <c r="W281" s="22"/>
      <c r="X281" s="22"/>
      <c r="Y281" s="22"/>
      <c r="Z281" s="22"/>
      <c r="AA281" s="22"/>
      <c r="AB281" s="22"/>
      <c r="AC281" s="22"/>
      <c r="AD281" s="22"/>
      <c r="AE281" s="18"/>
    </row>
    <row r="282" spans="4:31" x14ac:dyDescent="0.2">
      <c r="D282" s="18"/>
      <c r="E282" s="18"/>
      <c r="F282" s="24"/>
      <c r="G282" s="25"/>
      <c r="H282" s="21"/>
      <c r="I282" s="22"/>
      <c r="J282" s="22"/>
      <c r="K282" s="22"/>
      <c r="L282" s="22"/>
      <c r="M282" s="22"/>
      <c r="N282" s="22"/>
      <c r="O282" s="22"/>
      <c r="P282" s="22"/>
      <c r="Q282" s="22"/>
      <c r="R282" s="22"/>
      <c r="S282" s="22"/>
      <c r="T282" s="22"/>
      <c r="U282" s="18"/>
      <c r="V282" s="22"/>
      <c r="W282" s="22"/>
      <c r="X282" s="22"/>
      <c r="Y282" s="22"/>
      <c r="Z282" s="22"/>
      <c r="AA282" s="22"/>
      <c r="AB282" s="22"/>
      <c r="AC282" s="22"/>
      <c r="AD282" s="22"/>
      <c r="AE282" s="18"/>
    </row>
    <row r="283" spans="4:31" x14ac:dyDescent="0.2">
      <c r="D283" s="18"/>
      <c r="E283" s="18"/>
      <c r="F283" s="24"/>
      <c r="G283" s="25"/>
      <c r="H283" s="21"/>
      <c r="I283" s="22"/>
      <c r="J283" s="22"/>
      <c r="K283" s="22"/>
      <c r="L283" s="22"/>
      <c r="M283" s="22"/>
      <c r="N283" s="22"/>
      <c r="O283" s="22"/>
      <c r="P283" s="22"/>
      <c r="Q283" s="22"/>
      <c r="R283" s="22"/>
      <c r="S283" s="22"/>
      <c r="T283" s="22"/>
      <c r="U283" s="18"/>
      <c r="V283" s="22"/>
      <c r="W283" s="22"/>
      <c r="X283" s="22"/>
      <c r="Y283" s="22"/>
      <c r="Z283" s="22"/>
      <c r="AA283" s="22"/>
      <c r="AB283" s="22"/>
      <c r="AC283" s="22"/>
      <c r="AD283" s="22"/>
      <c r="AE283" s="18"/>
    </row>
    <row r="284" spans="4:31" x14ac:dyDescent="0.2">
      <c r="D284" s="18"/>
      <c r="E284" s="18"/>
      <c r="F284" s="24"/>
      <c r="G284" s="25"/>
      <c r="H284" s="21"/>
      <c r="I284" s="22"/>
      <c r="J284" s="22"/>
      <c r="K284" s="22"/>
      <c r="L284" s="22"/>
      <c r="M284" s="22"/>
      <c r="N284" s="22"/>
      <c r="O284" s="22"/>
      <c r="P284" s="22"/>
      <c r="Q284" s="22"/>
      <c r="R284" s="22"/>
      <c r="S284" s="22"/>
      <c r="T284" s="22"/>
      <c r="U284" s="18"/>
      <c r="V284" s="22"/>
      <c r="W284" s="22"/>
      <c r="X284" s="22"/>
      <c r="Y284" s="22"/>
      <c r="Z284" s="22"/>
      <c r="AA284" s="22"/>
      <c r="AB284" s="22"/>
      <c r="AC284" s="22"/>
      <c r="AD284" s="22"/>
      <c r="AE284" s="18"/>
    </row>
    <row r="285" spans="4:31" x14ac:dyDescent="0.2">
      <c r="D285" s="18"/>
      <c r="E285" s="18"/>
      <c r="F285" s="24"/>
      <c r="G285" s="25"/>
      <c r="H285" s="21"/>
      <c r="I285" s="22"/>
      <c r="J285" s="22"/>
      <c r="K285" s="22"/>
      <c r="L285" s="22"/>
      <c r="M285" s="22"/>
      <c r="N285" s="22"/>
      <c r="O285" s="22"/>
      <c r="P285" s="22"/>
      <c r="Q285" s="22"/>
      <c r="R285" s="22"/>
      <c r="S285" s="22"/>
      <c r="T285" s="22"/>
      <c r="U285" s="18"/>
      <c r="V285" s="22"/>
      <c r="W285" s="22"/>
      <c r="X285" s="22"/>
      <c r="Y285" s="22"/>
      <c r="Z285" s="22"/>
      <c r="AA285" s="22"/>
      <c r="AB285" s="22"/>
      <c r="AC285" s="22"/>
      <c r="AD285" s="22"/>
      <c r="AE285" s="18"/>
    </row>
    <row r="286" spans="4:31" x14ac:dyDescent="0.2">
      <c r="D286" s="18"/>
      <c r="E286" s="18"/>
      <c r="F286" s="24"/>
      <c r="G286" s="25"/>
      <c r="H286" s="21"/>
      <c r="I286" s="22"/>
      <c r="J286" s="22"/>
      <c r="K286" s="22"/>
      <c r="L286" s="22"/>
      <c r="M286" s="22"/>
      <c r="N286" s="22"/>
      <c r="O286" s="22"/>
      <c r="P286" s="22"/>
      <c r="Q286" s="22"/>
      <c r="R286" s="22"/>
      <c r="S286" s="22"/>
      <c r="T286" s="22"/>
      <c r="U286" s="18"/>
      <c r="V286" s="22"/>
      <c r="W286" s="22"/>
      <c r="X286" s="22"/>
      <c r="Y286" s="22"/>
      <c r="Z286" s="22"/>
      <c r="AA286" s="22"/>
      <c r="AB286" s="22"/>
      <c r="AC286" s="22"/>
      <c r="AD286" s="22"/>
      <c r="AE286" s="18"/>
    </row>
    <row r="287" spans="4:31" x14ac:dyDescent="0.2">
      <c r="D287" s="18"/>
      <c r="E287" s="18"/>
      <c r="F287" s="24"/>
      <c r="G287" s="25"/>
      <c r="H287" s="21"/>
      <c r="I287" s="22"/>
      <c r="J287" s="22"/>
      <c r="K287" s="22"/>
      <c r="L287" s="22"/>
      <c r="M287" s="22"/>
      <c r="N287" s="22"/>
      <c r="O287" s="22"/>
      <c r="P287" s="22"/>
      <c r="Q287" s="22"/>
      <c r="R287" s="22"/>
      <c r="S287" s="22"/>
      <c r="T287" s="22"/>
      <c r="U287" s="18"/>
      <c r="V287" s="22"/>
      <c r="W287" s="22"/>
      <c r="X287" s="22"/>
      <c r="Y287" s="22"/>
      <c r="Z287" s="22"/>
      <c r="AA287" s="22"/>
      <c r="AB287" s="22"/>
      <c r="AC287" s="22"/>
      <c r="AD287" s="22"/>
      <c r="AE287" s="18"/>
    </row>
    <row r="288" spans="4:31" x14ac:dyDescent="0.2">
      <c r="D288" s="18"/>
      <c r="E288" s="18"/>
      <c r="F288" s="24"/>
      <c r="G288" s="25"/>
      <c r="H288" s="21"/>
      <c r="I288" s="22"/>
      <c r="J288" s="22"/>
      <c r="K288" s="22"/>
      <c r="L288" s="22"/>
      <c r="M288" s="22"/>
      <c r="N288" s="22"/>
      <c r="O288" s="22"/>
      <c r="P288" s="22"/>
      <c r="Q288" s="22"/>
      <c r="R288" s="22"/>
      <c r="S288" s="22"/>
      <c r="T288" s="22"/>
      <c r="U288" s="18"/>
      <c r="V288" s="22"/>
      <c r="W288" s="22"/>
      <c r="X288" s="22"/>
      <c r="Y288" s="22"/>
      <c r="Z288" s="22"/>
      <c r="AA288" s="22"/>
      <c r="AB288" s="22"/>
      <c r="AC288" s="22"/>
      <c r="AD288" s="22"/>
      <c r="AE288" s="18"/>
    </row>
    <row r="289" spans="4:31" x14ac:dyDescent="0.2">
      <c r="D289" s="18"/>
      <c r="E289" s="18"/>
      <c r="F289" s="24"/>
      <c r="G289" s="25"/>
      <c r="H289" s="21"/>
      <c r="I289" s="22"/>
      <c r="J289" s="22"/>
      <c r="K289" s="22"/>
      <c r="L289" s="22"/>
      <c r="M289" s="22"/>
      <c r="N289" s="22"/>
      <c r="O289" s="22"/>
      <c r="P289" s="22"/>
      <c r="Q289" s="22"/>
      <c r="R289" s="22"/>
      <c r="S289" s="22"/>
      <c r="T289" s="22"/>
      <c r="U289" s="18"/>
      <c r="V289" s="22"/>
      <c r="W289" s="22"/>
      <c r="X289" s="22"/>
      <c r="Y289" s="22"/>
      <c r="Z289" s="22"/>
      <c r="AA289" s="22"/>
      <c r="AB289" s="22"/>
      <c r="AC289" s="22"/>
      <c r="AD289" s="22"/>
      <c r="AE289" s="18"/>
    </row>
    <row r="290" spans="4:31" x14ac:dyDescent="0.2">
      <c r="D290" s="18"/>
      <c r="E290" s="18"/>
      <c r="F290" s="24"/>
      <c r="G290" s="25"/>
      <c r="H290" s="21"/>
      <c r="I290" s="22"/>
      <c r="J290" s="22"/>
      <c r="K290" s="22"/>
      <c r="L290" s="22"/>
      <c r="M290" s="22"/>
      <c r="N290" s="22"/>
      <c r="O290" s="22"/>
      <c r="P290" s="22"/>
      <c r="Q290" s="22"/>
      <c r="R290" s="22"/>
      <c r="S290" s="22"/>
      <c r="T290" s="22"/>
      <c r="U290" s="18"/>
      <c r="V290" s="22"/>
      <c r="W290" s="22"/>
      <c r="X290" s="22"/>
      <c r="Y290" s="22"/>
      <c r="Z290" s="22"/>
      <c r="AA290" s="22"/>
      <c r="AB290" s="22"/>
      <c r="AC290" s="22"/>
      <c r="AD290" s="22"/>
      <c r="AE290" s="18"/>
    </row>
    <row r="291" spans="4:31" x14ac:dyDescent="0.2">
      <c r="D291" s="18"/>
      <c r="E291" s="18"/>
      <c r="F291" s="24"/>
      <c r="G291" s="25"/>
      <c r="H291" s="21"/>
      <c r="I291" s="22"/>
      <c r="J291" s="22"/>
      <c r="K291" s="22"/>
      <c r="L291" s="22"/>
      <c r="M291" s="22"/>
      <c r="N291" s="22"/>
      <c r="O291" s="22"/>
      <c r="P291" s="22"/>
      <c r="Q291" s="22"/>
      <c r="R291" s="22"/>
      <c r="S291" s="22"/>
      <c r="T291" s="22"/>
      <c r="U291" s="18"/>
      <c r="V291" s="22"/>
      <c r="W291" s="22"/>
      <c r="X291" s="22"/>
      <c r="Y291" s="22"/>
      <c r="Z291" s="22"/>
      <c r="AA291" s="22"/>
      <c r="AB291" s="22"/>
      <c r="AC291" s="22"/>
      <c r="AD291" s="22"/>
      <c r="AE291" s="18"/>
    </row>
    <row r="292" spans="4:31" x14ac:dyDescent="0.2">
      <c r="D292" s="18"/>
      <c r="E292" s="18"/>
      <c r="F292" s="24"/>
      <c r="G292" s="25"/>
      <c r="H292" s="21"/>
      <c r="I292" s="22"/>
      <c r="J292" s="22"/>
      <c r="K292" s="22"/>
      <c r="L292" s="22"/>
      <c r="M292" s="22"/>
      <c r="N292" s="22"/>
      <c r="O292" s="22"/>
      <c r="P292" s="22"/>
      <c r="Q292" s="22"/>
      <c r="R292" s="22"/>
      <c r="S292" s="22"/>
      <c r="T292" s="22"/>
      <c r="U292" s="18"/>
      <c r="V292" s="22"/>
      <c r="W292" s="22"/>
      <c r="X292" s="22"/>
      <c r="Y292" s="22"/>
      <c r="Z292" s="22"/>
      <c r="AA292" s="22"/>
      <c r="AB292" s="22"/>
      <c r="AC292" s="22"/>
      <c r="AD292" s="22"/>
      <c r="AE292" s="18"/>
    </row>
    <row r="293" spans="4:31" x14ac:dyDescent="0.2">
      <c r="D293" s="18"/>
      <c r="E293" s="18"/>
      <c r="F293" s="24"/>
      <c r="G293" s="25"/>
      <c r="H293" s="21"/>
      <c r="I293" s="22"/>
      <c r="J293" s="22"/>
      <c r="K293" s="22"/>
      <c r="L293" s="22"/>
      <c r="M293" s="22"/>
      <c r="N293" s="22"/>
      <c r="O293" s="22"/>
      <c r="P293" s="22"/>
      <c r="Q293" s="22"/>
      <c r="R293" s="22"/>
      <c r="S293" s="22"/>
      <c r="T293" s="22"/>
      <c r="U293" s="18"/>
      <c r="V293" s="22"/>
      <c r="W293" s="22"/>
      <c r="X293" s="22"/>
      <c r="Y293" s="22"/>
      <c r="Z293" s="22"/>
      <c r="AA293" s="22"/>
      <c r="AB293" s="22"/>
      <c r="AC293" s="22"/>
      <c r="AD293" s="22"/>
      <c r="AE293" s="18"/>
    </row>
    <row r="294" spans="4:31" x14ac:dyDescent="0.2">
      <c r="D294" s="18"/>
      <c r="E294" s="18"/>
      <c r="F294" s="24"/>
      <c r="G294" s="25"/>
      <c r="H294" s="21"/>
      <c r="I294" s="22"/>
      <c r="J294" s="22"/>
      <c r="K294" s="22"/>
      <c r="L294" s="22"/>
      <c r="M294" s="22"/>
      <c r="N294" s="22"/>
      <c r="O294" s="22"/>
      <c r="P294" s="22"/>
      <c r="Q294" s="22"/>
      <c r="R294" s="22"/>
      <c r="S294" s="22"/>
      <c r="T294" s="22"/>
      <c r="U294" s="18"/>
      <c r="V294" s="22"/>
      <c r="W294" s="22"/>
      <c r="X294" s="22"/>
      <c r="Y294" s="22"/>
      <c r="Z294" s="22"/>
      <c r="AA294" s="22"/>
      <c r="AB294" s="22"/>
      <c r="AC294" s="22"/>
      <c r="AD294" s="22"/>
      <c r="AE294" s="18"/>
    </row>
    <row r="295" spans="4:31" x14ac:dyDescent="0.2">
      <c r="D295" s="18"/>
      <c r="E295" s="18"/>
      <c r="F295" s="24"/>
      <c r="G295" s="25"/>
      <c r="H295" s="21"/>
      <c r="I295" s="22"/>
      <c r="J295" s="22"/>
      <c r="K295" s="22"/>
      <c r="L295" s="22"/>
      <c r="M295" s="22"/>
      <c r="N295" s="22"/>
      <c r="O295" s="22"/>
      <c r="P295" s="22"/>
      <c r="Q295" s="22"/>
      <c r="R295" s="22"/>
      <c r="S295" s="22"/>
      <c r="T295" s="22"/>
      <c r="U295" s="18"/>
      <c r="V295" s="22"/>
      <c r="W295" s="22"/>
      <c r="X295" s="22"/>
      <c r="Y295" s="22"/>
      <c r="Z295" s="22"/>
      <c r="AA295" s="22"/>
      <c r="AB295" s="22"/>
      <c r="AC295" s="22"/>
      <c r="AD295" s="22"/>
      <c r="AE295" s="18"/>
    </row>
    <row r="296" spans="4:31" x14ac:dyDescent="0.2">
      <c r="D296" s="18"/>
      <c r="E296" s="18"/>
      <c r="F296" s="24"/>
      <c r="G296" s="25"/>
      <c r="H296" s="21"/>
      <c r="I296" s="22"/>
      <c r="J296" s="22"/>
      <c r="K296" s="22"/>
      <c r="L296" s="22"/>
      <c r="M296" s="22"/>
      <c r="N296" s="22"/>
      <c r="O296" s="22"/>
      <c r="P296" s="22"/>
      <c r="Q296" s="22"/>
      <c r="R296" s="22"/>
      <c r="S296" s="22"/>
      <c r="T296" s="22"/>
      <c r="U296" s="18"/>
      <c r="V296" s="22"/>
      <c r="W296" s="22"/>
      <c r="X296" s="22"/>
      <c r="Y296" s="22"/>
      <c r="Z296" s="22"/>
      <c r="AA296" s="22"/>
      <c r="AB296" s="22"/>
      <c r="AC296" s="22"/>
      <c r="AD296" s="22"/>
      <c r="AE296" s="18"/>
    </row>
    <row r="297" spans="4:31" x14ac:dyDescent="0.2">
      <c r="D297" s="18"/>
      <c r="E297" s="18"/>
      <c r="F297" s="24"/>
      <c r="G297" s="25"/>
      <c r="H297" s="21"/>
      <c r="I297" s="22"/>
      <c r="J297" s="22"/>
      <c r="K297" s="22"/>
      <c r="L297" s="22"/>
      <c r="M297" s="22"/>
      <c r="N297" s="22"/>
      <c r="O297" s="22"/>
      <c r="P297" s="22"/>
      <c r="Q297" s="22"/>
      <c r="R297" s="22"/>
      <c r="S297" s="22"/>
      <c r="T297" s="22"/>
      <c r="U297" s="18"/>
      <c r="V297" s="22"/>
      <c r="W297" s="22"/>
      <c r="X297" s="22"/>
      <c r="Y297" s="22"/>
      <c r="Z297" s="22"/>
      <c r="AA297" s="22"/>
      <c r="AB297" s="22"/>
      <c r="AC297" s="22"/>
      <c r="AD297" s="22"/>
      <c r="AE297" s="18"/>
    </row>
    <row r="298" spans="4:31" x14ac:dyDescent="0.2">
      <c r="D298" s="18"/>
      <c r="E298" s="18"/>
      <c r="F298" s="24"/>
      <c r="G298" s="25"/>
      <c r="H298" s="21"/>
      <c r="I298" s="22"/>
      <c r="J298" s="22"/>
      <c r="K298" s="22"/>
      <c r="L298" s="22"/>
      <c r="M298" s="22"/>
      <c r="N298" s="22"/>
      <c r="O298" s="22"/>
      <c r="P298" s="22"/>
      <c r="Q298" s="22"/>
      <c r="R298" s="22"/>
      <c r="S298" s="22"/>
      <c r="T298" s="22"/>
      <c r="U298" s="18"/>
      <c r="V298" s="22"/>
      <c r="W298" s="22"/>
      <c r="X298" s="22"/>
      <c r="Y298" s="22"/>
      <c r="Z298" s="22"/>
      <c r="AA298" s="22"/>
      <c r="AB298" s="22"/>
      <c r="AC298" s="22"/>
      <c r="AD298" s="22"/>
      <c r="AE298" s="18"/>
    </row>
    <row r="299" spans="4:31" x14ac:dyDescent="0.2">
      <c r="D299" s="18"/>
      <c r="E299" s="18"/>
      <c r="F299" s="24"/>
      <c r="G299" s="25"/>
      <c r="H299" s="21"/>
      <c r="I299" s="22"/>
      <c r="J299" s="22"/>
      <c r="K299" s="22"/>
      <c r="L299" s="22"/>
      <c r="M299" s="22"/>
      <c r="N299" s="22"/>
      <c r="O299" s="22"/>
      <c r="P299" s="22"/>
      <c r="Q299" s="22"/>
      <c r="R299" s="22"/>
      <c r="S299" s="22"/>
      <c r="T299" s="22"/>
      <c r="U299" s="18"/>
      <c r="V299" s="22"/>
      <c r="W299" s="22"/>
      <c r="X299" s="22"/>
      <c r="Y299" s="22"/>
      <c r="Z299" s="22"/>
      <c r="AA299" s="22"/>
      <c r="AB299" s="22"/>
      <c r="AC299" s="22"/>
      <c r="AD299" s="22"/>
      <c r="AE299" s="18"/>
    </row>
    <row r="300" spans="4:31" x14ac:dyDescent="0.2">
      <c r="D300" s="18"/>
      <c r="E300" s="18"/>
      <c r="F300" s="24"/>
      <c r="G300" s="25"/>
      <c r="H300" s="21"/>
      <c r="I300" s="22"/>
      <c r="J300" s="22"/>
      <c r="K300" s="22"/>
      <c r="L300" s="22"/>
      <c r="M300" s="22"/>
      <c r="N300" s="22"/>
      <c r="O300" s="22"/>
      <c r="P300" s="22"/>
      <c r="Q300" s="22"/>
      <c r="R300" s="22"/>
      <c r="S300" s="22"/>
      <c r="T300" s="22"/>
      <c r="U300" s="18"/>
      <c r="V300" s="22"/>
      <c r="W300" s="22"/>
      <c r="X300" s="22"/>
      <c r="Y300" s="22"/>
      <c r="Z300" s="22"/>
      <c r="AA300" s="22"/>
      <c r="AB300" s="22"/>
      <c r="AC300" s="22"/>
      <c r="AD300" s="22"/>
      <c r="AE300" s="18"/>
    </row>
    <row r="301" spans="4:31" x14ac:dyDescent="0.2">
      <c r="D301" s="18"/>
      <c r="E301" s="18"/>
      <c r="F301" s="24"/>
      <c r="G301" s="25"/>
      <c r="H301" s="21"/>
      <c r="I301" s="22"/>
      <c r="J301" s="22"/>
      <c r="K301" s="22"/>
      <c r="L301" s="22"/>
      <c r="M301" s="22"/>
      <c r="N301" s="22"/>
      <c r="O301" s="22"/>
      <c r="P301" s="22"/>
      <c r="Q301" s="22"/>
      <c r="R301" s="22"/>
      <c r="S301" s="22"/>
      <c r="T301" s="22"/>
      <c r="U301" s="18"/>
      <c r="V301" s="22"/>
      <c r="W301" s="22"/>
      <c r="X301" s="22"/>
      <c r="Y301" s="22"/>
      <c r="Z301" s="22"/>
      <c r="AA301" s="22"/>
      <c r="AB301" s="22"/>
      <c r="AC301" s="22"/>
      <c r="AD301" s="22"/>
      <c r="AE301" s="18"/>
    </row>
    <row r="302" spans="4:31" x14ac:dyDescent="0.2">
      <c r="D302" s="18"/>
      <c r="E302" s="18"/>
      <c r="F302" s="24"/>
      <c r="G302" s="25"/>
      <c r="H302" s="21"/>
      <c r="I302" s="22"/>
      <c r="J302" s="22"/>
      <c r="K302" s="22"/>
      <c r="L302" s="22"/>
      <c r="M302" s="22"/>
      <c r="N302" s="22"/>
      <c r="O302" s="22"/>
      <c r="P302" s="22"/>
      <c r="Q302" s="22"/>
      <c r="R302" s="22"/>
      <c r="S302" s="22"/>
      <c r="T302" s="22"/>
      <c r="U302" s="18"/>
      <c r="V302" s="22"/>
      <c r="W302" s="22"/>
      <c r="X302" s="22"/>
      <c r="Y302" s="22"/>
      <c r="Z302" s="22"/>
      <c r="AA302" s="22"/>
      <c r="AB302" s="22"/>
      <c r="AC302" s="22"/>
      <c r="AD302" s="22"/>
      <c r="AE302" s="18"/>
    </row>
    <row r="303" spans="4:31" x14ac:dyDescent="0.2">
      <c r="D303" s="18"/>
      <c r="E303" s="18"/>
      <c r="F303" s="24"/>
      <c r="G303" s="25"/>
      <c r="H303" s="21"/>
      <c r="I303" s="22"/>
      <c r="J303" s="22"/>
      <c r="K303" s="22"/>
      <c r="L303" s="22"/>
      <c r="M303" s="22"/>
      <c r="N303" s="22"/>
      <c r="O303" s="22"/>
      <c r="P303" s="22"/>
      <c r="Q303" s="22"/>
      <c r="R303" s="22"/>
      <c r="S303" s="22"/>
      <c r="T303" s="22"/>
      <c r="U303" s="18"/>
      <c r="V303" s="22"/>
      <c r="W303" s="22"/>
      <c r="X303" s="22"/>
      <c r="Y303" s="22"/>
      <c r="Z303" s="22"/>
      <c r="AA303" s="22"/>
      <c r="AB303" s="22"/>
      <c r="AC303" s="22"/>
      <c r="AD303" s="22"/>
      <c r="AE303" s="18"/>
    </row>
    <row r="304" spans="4:31" x14ac:dyDescent="0.2">
      <c r="D304" s="18"/>
      <c r="E304" s="18"/>
      <c r="F304" s="24"/>
      <c r="G304" s="25"/>
      <c r="H304" s="21"/>
      <c r="I304" s="22"/>
      <c r="J304" s="22"/>
      <c r="K304" s="22"/>
      <c r="L304" s="22"/>
      <c r="M304" s="22"/>
      <c r="N304" s="22"/>
      <c r="O304" s="22"/>
      <c r="P304" s="22"/>
      <c r="Q304" s="22"/>
      <c r="R304" s="22"/>
      <c r="S304" s="22"/>
      <c r="T304" s="22"/>
      <c r="U304" s="18"/>
      <c r="V304" s="22"/>
      <c r="W304" s="22"/>
      <c r="X304" s="22"/>
      <c r="Y304" s="22"/>
      <c r="Z304" s="22"/>
      <c r="AA304" s="22"/>
      <c r="AB304" s="22"/>
      <c r="AC304" s="22"/>
      <c r="AD304" s="22"/>
      <c r="AE304" s="18"/>
    </row>
    <row r="305" spans="4:31" x14ac:dyDescent="0.2">
      <c r="D305" s="18"/>
      <c r="E305" s="18"/>
      <c r="F305" s="24"/>
      <c r="G305" s="25"/>
      <c r="H305" s="21"/>
      <c r="I305" s="22"/>
      <c r="J305" s="22"/>
      <c r="K305" s="22"/>
      <c r="L305" s="22"/>
      <c r="M305" s="22"/>
      <c r="N305" s="22"/>
      <c r="O305" s="22"/>
      <c r="P305" s="22"/>
      <c r="Q305" s="22"/>
      <c r="R305" s="22"/>
      <c r="S305" s="22"/>
      <c r="T305" s="22"/>
      <c r="U305" s="18"/>
      <c r="V305" s="22"/>
      <c r="W305" s="22"/>
      <c r="X305" s="22"/>
      <c r="Y305" s="22"/>
      <c r="Z305" s="22"/>
      <c r="AA305" s="22"/>
      <c r="AB305" s="22"/>
      <c r="AC305" s="22"/>
      <c r="AD305" s="22"/>
      <c r="AE305" s="18"/>
    </row>
    <row r="306" spans="4:31" x14ac:dyDescent="0.2">
      <c r="D306" s="18"/>
      <c r="E306" s="18"/>
      <c r="F306" s="24"/>
      <c r="G306" s="25"/>
      <c r="H306" s="21"/>
      <c r="I306" s="22"/>
      <c r="J306" s="22"/>
      <c r="K306" s="22"/>
      <c r="L306" s="22"/>
      <c r="M306" s="22"/>
      <c r="N306" s="22"/>
      <c r="O306" s="22"/>
      <c r="P306" s="22"/>
      <c r="Q306" s="22"/>
      <c r="R306" s="22"/>
      <c r="S306" s="22"/>
      <c r="T306" s="22"/>
      <c r="U306" s="18"/>
      <c r="V306" s="22"/>
      <c r="W306" s="22"/>
      <c r="X306" s="22"/>
      <c r="Y306" s="22"/>
      <c r="Z306" s="22"/>
      <c r="AA306" s="22"/>
      <c r="AB306" s="22"/>
      <c r="AC306" s="22"/>
      <c r="AD306" s="22"/>
      <c r="AE306" s="18"/>
    </row>
    <row r="307" spans="4:31" x14ac:dyDescent="0.2">
      <c r="D307" s="18"/>
      <c r="E307" s="18"/>
      <c r="F307" s="24"/>
      <c r="G307" s="25"/>
      <c r="H307" s="21"/>
      <c r="I307" s="22"/>
      <c r="J307" s="22"/>
      <c r="K307" s="22"/>
      <c r="L307" s="22"/>
      <c r="M307" s="22"/>
      <c r="N307" s="22"/>
      <c r="O307" s="22"/>
      <c r="P307" s="22"/>
      <c r="Q307" s="22"/>
      <c r="R307" s="22"/>
      <c r="S307" s="22"/>
      <c r="T307" s="22"/>
      <c r="U307" s="18"/>
      <c r="V307" s="22"/>
      <c r="W307" s="22"/>
      <c r="X307" s="22"/>
      <c r="Y307" s="22"/>
      <c r="Z307" s="22"/>
      <c r="AA307" s="22"/>
      <c r="AB307" s="22"/>
      <c r="AC307" s="22"/>
      <c r="AD307" s="22"/>
      <c r="AE307" s="18"/>
    </row>
    <row r="308" spans="4:31" x14ac:dyDescent="0.2">
      <c r="D308" s="18"/>
      <c r="E308" s="18"/>
      <c r="F308" s="24"/>
      <c r="G308" s="25"/>
      <c r="H308" s="21"/>
      <c r="I308" s="22"/>
      <c r="J308" s="22"/>
      <c r="K308" s="22"/>
      <c r="L308" s="22"/>
      <c r="M308" s="22"/>
      <c r="N308" s="22"/>
      <c r="O308" s="22"/>
      <c r="P308" s="22"/>
      <c r="Q308" s="22"/>
      <c r="R308" s="22"/>
      <c r="S308" s="22"/>
      <c r="T308" s="22"/>
      <c r="U308" s="18"/>
      <c r="V308" s="22"/>
      <c r="W308" s="22"/>
      <c r="X308" s="22"/>
      <c r="Y308" s="22"/>
      <c r="Z308" s="22"/>
      <c r="AA308" s="22"/>
      <c r="AB308" s="22"/>
      <c r="AC308" s="22"/>
      <c r="AD308" s="22"/>
      <c r="AE308" s="18"/>
    </row>
    <row r="309" spans="4:31" x14ac:dyDescent="0.2">
      <c r="D309" s="18"/>
      <c r="E309" s="18"/>
      <c r="F309" s="24"/>
      <c r="G309" s="25"/>
      <c r="H309" s="21"/>
      <c r="I309" s="22"/>
      <c r="J309" s="22"/>
      <c r="K309" s="22"/>
      <c r="L309" s="22"/>
      <c r="M309" s="22"/>
      <c r="N309" s="22"/>
      <c r="O309" s="22"/>
      <c r="P309" s="22"/>
      <c r="Q309" s="22"/>
      <c r="R309" s="22"/>
      <c r="S309" s="22"/>
      <c r="T309" s="22"/>
      <c r="U309" s="18"/>
      <c r="V309" s="22"/>
      <c r="W309" s="22"/>
      <c r="X309" s="22"/>
      <c r="Y309" s="22"/>
      <c r="Z309" s="22"/>
      <c r="AA309" s="22"/>
      <c r="AB309" s="22"/>
      <c r="AC309" s="22"/>
      <c r="AD309" s="22"/>
      <c r="AE309" s="18"/>
    </row>
    <row r="310" spans="4:31" x14ac:dyDescent="0.2">
      <c r="D310" s="18"/>
      <c r="E310" s="18"/>
      <c r="F310" s="24"/>
      <c r="G310" s="25"/>
      <c r="H310" s="21"/>
      <c r="I310" s="22"/>
      <c r="J310" s="22"/>
      <c r="K310" s="22"/>
      <c r="L310" s="22"/>
      <c r="M310" s="22"/>
      <c r="N310" s="22"/>
      <c r="O310" s="22"/>
      <c r="P310" s="22"/>
      <c r="Q310" s="22"/>
      <c r="R310" s="22"/>
      <c r="S310" s="22"/>
      <c r="T310" s="22"/>
      <c r="U310" s="18"/>
      <c r="V310" s="22"/>
      <c r="W310" s="22"/>
      <c r="X310" s="22"/>
      <c r="Y310" s="22"/>
      <c r="Z310" s="22"/>
      <c r="AA310" s="22"/>
      <c r="AB310" s="22"/>
      <c r="AC310" s="22"/>
      <c r="AD310" s="22"/>
      <c r="AE310" s="18"/>
    </row>
    <row r="311" spans="4:31" x14ac:dyDescent="0.2">
      <c r="D311" s="18"/>
      <c r="E311" s="18"/>
      <c r="F311" s="24"/>
      <c r="G311" s="25"/>
      <c r="H311" s="21"/>
      <c r="I311" s="22"/>
      <c r="J311" s="22"/>
      <c r="K311" s="22"/>
      <c r="L311" s="22"/>
      <c r="M311" s="22"/>
      <c r="N311" s="22"/>
      <c r="O311" s="22"/>
      <c r="P311" s="22"/>
      <c r="Q311" s="22"/>
      <c r="R311" s="22"/>
      <c r="S311" s="22"/>
      <c r="T311" s="22"/>
      <c r="U311" s="18"/>
      <c r="V311" s="22"/>
      <c r="W311" s="22"/>
      <c r="X311" s="22"/>
      <c r="Y311" s="22"/>
      <c r="Z311" s="22"/>
      <c r="AA311" s="22"/>
      <c r="AB311" s="22"/>
      <c r="AC311" s="22"/>
      <c r="AD311" s="22"/>
      <c r="AE311" s="18"/>
    </row>
    <row r="312" spans="4:31" x14ac:dyDescent="0.2">
      <c r="D312" s="18"/>
      <c r="E312" s="18"/>
      <c r="F312" s="24"/>
      <c r="G312" s="25"/>
      <c r="H312" s="21"/>
      <c r="I312" s="22"/>
      <c r="J312" s="22"/>
      <c r="K312" s="22"/>
      <c r="L312" s="22"/>
      <c r="M312" s="22"/>
      <c r="N312" s="22"/>
      <c r="O312" s="22"/>
      <c r="P312" s="22"/>
      <c r="Q312" s="22"/>
      <c r="R312" s="22"/>
      <c r="S312" s="22"/>
      <c r="T312" s="22"/>
      <c r="U312" s="18"/>
      <c r="V312" s="22"/>
      <c r="W312" s="22"/>
      <c r="X312" s="22"/>
      <c r="Y312" s="22"/>
      <c r="Z312" s="22"/>
      <c r="AA312" s="22"/>
      <c r="AB312" s="22"/>
      <c r="AC312" s="22"/>
      <c r="AD312" s="22"/>
      <c r="AE312" s="18"/>
    </row>
    <row r="313" spans="4:31" x14ac:dyDescent="0.2">
      <c r="D313" s="18"/>
      <c r="E313" s="18"/>
      <c r="F313" s="24"/>
      <c r="G313" s="25"/>
      <c r="H313" s="21"/>
      <c r="I313" s="22"/>
      <c r="J313" s="22"/>
      <c r="K313" s="22"/>
      <c r="L313" s="22"/>
      <c r="M313" s="22"/>
      <c r="N313" s="22"/>
      <c r="O313" s="22"/>
      <c r="P313" s="22"/>
      <c r="Q313" s="22"/>
      <c r="R313" s="22"/>
      <c r="S313" s="22"/>
      <c r="T313" s="22"/>
      <c r="U313" s="18"/>
      <c r="V313" s="22"/>
      <c r="W313" s="22"/>
      <c r="X313" s="22"/>
      <c r="Y313" s="22"/>
      <c r="Z313" s="22"/>
      <c r="AA313" s="22"/>
      <c r="AB313" s="22"/>
      <c r="AC313" s="22"/>
      <c r="AD313" s="22"/>
      <c r="AE313" s="18"/>
    </row>
    <row r="314" spans="4:31" x14ac:dyDescent="0.2">
      <c r="D314" s="18"/>
      <c r="E314" s="18"/>
      <c r="F314" s="24"/>
      <c r="G314" s="25"/>
      <c r="H314" s="21"/>
      <c r="I314" s="22"/>
      <c r="J314" s="22"/>
      <c r="K314" s="22"/>
      <c r="L314" s="22"/>
      <c r="M314" s="22"/>
      <c r="N314" s="22"/>
      <c r="O314" s="22"/>
      <c r="P314" s="22"/>
      <c r="Q314" s="22"/>
      <c r="R314" s="22"/>
      <c r="S314" s="22"/>
      <c r="T314" s="22"/>
      <c r="U314" s="18"/>
      <c r="V314" s="22"/>
      <c r="W314" s="22"/>
      <c r="X314" s="22"/>
      <c r="Y314" s="22"/>
      <c r="Z314" s="22"/>
      <c r="AA314" s="22"/>
      <c r="AB314" s="22"/>
      <c r="AC314" s="22"/>
      <c r="AD314" s="22"/>
      <c r="AE314" s="18"/>
    </row>
    <row r="315" spans="4:31" x14ac:dyDescent="0.2">
      <c r="D315" s="18"/>
      <c r="E315" s="18"/>
      <c r="F315" s="24"/>
      <c r="G315" s="25"/>
      <c r="H315" s="21"/>
      <c r="I315" s="22"/>
      <c r="J315" s="22"/>
      <c r="K315" s="22"/>
      <c r="L315" s="22"/>
      <c r="M315" s="22"/>
      <c r="N315" s="22"/>
      <c r="O315" s="22"/>
      <c r="P315" s="22"/>
      <c r="Q315" s="22"/>
      <c r="R315" s="22"/>
      <c r="S315" s="22"/>
      <c r="T315" s="22"/>
      <c r="U315" s="18"/>
      <c r="V315" s="22"/>
      <c r="W315" s="22"/>
      <c r="X315" s="22"/>
      <c r="Y315" s="22"/>
      <c r="Z315" s="22"/>
      <c r="AA315" s="22"/>
      <c r="AB315" s="22"/>
      <c r="AC315" s="22"/>
      <c r="AD315" s="22"/>
      <c r="AE315" s="18"/>
    </row>
    <row r="316" spans="4:31" x14ac:dyDescent="0.2">
      <c r="D316" s="18"/>
      <c r="E316" s="18"/>
      <c r="F316" s="24"/>
      <c r="G316" s="25"/>
      <c r="H316" s="21"/>
      <c r="I316" s="22"/>
      <c r="J316" s="22"/>
      <c r="K316" s="22"/>
      <c r="L316" s="22"/>
      <c r="M316" s="22"/>
      <c r="N316" s="22"/>
      <c r="O316" s="22"/>
      <c r="P316" s="22"/>
      <c r="Q316" s="22"/>
      <c r="R316" s="22"/>
      <c r="S316" s="22"/>
      <c r="T316" s="22"/>
      <c r="U316" s="18"/>
      <c r="V316" s="22"/>
      <c r="W316" s="22"/>
      <c r="X316" s="22"/>
      <c r="Y316" s="22"/>
      <c r="Z316" s="22"/>
      <c r="AA316" s="22"/>
      <c r="AB316" s="22"/>
      <c r="AC316" s="22"/>
      <c r="AD316" s="22"/>
      <c r="AE316" s="18"/>
    </row>
    <row r="317" spans="4:31" x14ac:dyDescent="0.2">
      <c r="D317" s="18"/>
      <c r="E317" s="18"/>
      <c r="F317" s="24"/>
      <c r="G317" s="25"/>
      <c r="H317" s="21"/>
      <c r="I317" s="22"/>
      <c r="J317" s="22"/>
      <c r="K317" s="22"/>
      <c r="L317" s="22"/>
      <c r="M317" s="22"/>
      <c r="N317" s="22"/>
      <c r="O317" s="22"/>
      <c r="P317" s="22"/>
      <c r="Q317" s="22"/>
      <c r="R317" s="22"/>
      <c r="S317" s="22"/>
      <c r="T317" s="22"/>
      <c r="U317" s="18"/>
      <c r="V317" s="22"/>
      <c r="W317" s="22"/>
      <c r="X317" s="22"/>
      <c r="Y317" s="22"/>
      <c r="Z317" s="22"/>
      <c r="AA317" s="22"/>
      <c r="AB317" s="22"/>
      <c r="AC317" s="22"/>
      <c r="AD317" s="22"/>
      <c r="AE317" s="18"/>
    </row>
    <row r="318" spans="4:31" x14ac:dyDescent="0.2">
      <c r="D318" s="18"/>
      <c r="E318" s="18"/>
      <c r="F318" s="24"/>
      <c r="G318" s="25"/>
      <c r="H318" s="21"/>
      <c r="I318" s="22"/>
      <c r="J318" s="22"/>
      <c r="K318" s="22"/>
      <c r="L318" s="22"/>
      <c r="M318" s="22"/>
      <c r="N318" s="22"/>
      <c r="O318" s="22"/>
      <c r="P318" s="22"/>
      <c r="Q318" s="22"/>
      <c r="R318" s="22"/>
      <c r="S318" s="22"/>
      <c r="T318" s="22"/>
      <c r="U318" s="18"/>
      <c r="V318" s="22"/>
      <c r="W318" s="22"/>
      <c r="X318" s="22"/>
      <c r="Y318" s="22"/>
      <c r="Z318" s="22"/>
      <c r="AA318" s="22"/>
      <c r="AB318" s="22"/>
      <c r="AC318" s="22"/>
      <c r="AD318" s="22"/>
      <c r="AE318" s="18"/>
    </row>
    <row r="319" spans="4:31" x14ac:dyDescent="0.2">
      <c r="D319" s="18"/>
      <c r="E319" s="18"/>
      <c r="F319" s="24"/>
      <c r="G319" s="25"/>
      <c r="H319" s="21"/>
      <c r="I319" s="22"/>
      <c r="J319" s="22"/>
      <c r="K319" s="22"/>
      <c r="L319" s="22"/>
      <c r="M319" s="22"/>
      <c r="N319" s="22"/>
      <c r="O319" s="22"/>
      <c r="P319" s="22"/>
      <c r="Q319" s="22"/>
      <c r="R319" s="22"/>
      <c r="S319" s="22"/>
      <c r="T319" s="22"/>
      <c r="U319" s="18"/>
      <c r="V319" s="22"/>
      <c r="W319" s="22"/>
      <c r="X319" s="22"/>
      <c r="Y319" s="22"/>
      <c r="Z319" s="22"/>
      <c r="AA319" s="22"/>
      <c r="AB319" s="22"/>
      <c r="AC319" s="22"/>
      <c r="AD319" s="22"/>
      <c r="AE319" s="18"/>
    </row>
    <row r="320" spans="4:31" x14ac:dyDescent="0.2">
      <c r="D320" s="18"/>
      <c r="E320" s="18"/>
      <c r="F320" s="24"/>
      <c r="G320" s="25"/>
      <c r="H320" s="21"/>
      <c r="I320" s="22"/>
      <c r="J320" s="22"/>
      <c r="K320" s="22"/>
      <c r="L320" s="22"/>
      <c r="M320" s="22"/>
      <c r="N320" s="22"/>
      <c r="O320" s="22"/>
      <c r="P320" s="22"/>
      <c r="Q320" s="22"/>
      <c r="R320" s="22"/>
      <c r="S320" s="22"/>
      <c r="T320" s="22"/>
      <c r="U320" s="18"/>
      <c r="V320" s="22"/>
      <c r="W320" s="22"/>
      <c r="X320" s="22"/>
      <c r="Y320" s="22"/>
      <c r="Z320" s="22"/>
      <c r="AA320" s="22"/>
      <c r="AB320" s="22"/>
      <c r="AC320" s="22"/>
      <c r="AD320" s="22"/>
      <c r="AE320" s="18"/>
    </row>
    <row r="321" spans="4:31" x14ac:dyDescent="0.2">
      <c r="D321" s="18"/>
      <c r="E321" s="18"/>
      <c r="F321" s="24"/>
      <c r="G321" s="25"/>
      <c r="H321" s="21"/>
      <c r="I321" s="22"/>
      <c r="J321" s="22"/>
      <c r="K321" s="22"/>
      <c r="L321" s="22"/>
      <c r="M321" s="22"/>
      <c r="N321" s="22"/>
      <c r="O321" s="22"/>
      <c r="P321" s="22"/>
      <c r="Q321" s="22"/>
      <c r="R321" s="22"/>
      <c r="S321" s="22"/>
      <c r="T321" s="22"/>
      <c r="U321" s="18"/>
      <c r="V321" s="22"/>
      <c r="W321" s="22"/>
      <c r="X321" s="22"/>
      <c r="Y321" s="22"/>
      <c r="Z321" s="22"/>
      <c r="AA321" s="22"/>
      <c r="AB321" s="22"/>
      <c r="AC321" s="22"/>
      <c r="AD321" s="22"/>
      <c r="AE321" s="18"/>
    </row>
    <row r="322" spans="4:31" x14ac:dyDescent="0.2">
      <c r="D322" s="18"/>
      <c r="E322" s="18"/>
      <c r="F322" s="24"/>
      <c r="G322" s="25"/>
      <c r="H322" s="21"/>
      <c r="I322" s="22"/>
      <c r="J322" s="22"/>
      <c r="K322" s="22"/>
      <c r="L322" s="22"/>
      <c r="M322" s="22"/>
      <c r="N322" s="22"/>
      <c r="O322" s="22"/>
      <c r="P322" s="22"/>
      <c r="Q322" s="22"/>
      <c r="R322" s="22"/>
      <c r="S322" s="22"/>
      <c r="T322" s="22"/>
      <c r="U322" s="18"/>
      <c r="V322" s="22"/>
      <c r="W322" s="22"/>
      <c r="X322" s="22"/>
      <c r="Y322" s="22"/>
      <c r="Z322" s="22"/>
      <c r="AA322" s="22"/>
      <c r="AB322" s="22"/>
      <c r="AC322" s="22"/>
      <c r="AD322" s="22"/>
      <c r="AE322" s="18"/>
    </row>
    <row r="323" spans="4:31" x14ac:dyDescent="0.2">
      <c r="D323" s="18"/>
      <c r="E323" s="18"/>
      <c r="F323" s="24"/>
      <c r="G323" s="25"/>
      <c r="H323" s="21"/>
      <c r="I323" s="22"/>
      <c r="J323" s="22"/>
      <c r="K323" s="22"/>
      <c r="L323" s="22"/>
      <c r="M323" s="22"/>
      <c r="N323" s="22"/>
      <c r="O323" s="22"/>
      <c r="P323" s="22"/>
      <c r="Q323" s="22"/>
      <c r="R323" s="22"/>
      <c r="S323" s="22"/>
      <c r="T323" s="22"/>
      <c r="U323" s="18"/>
      <c r="V323" s="22"/>
      <c r="W323" s="22"/>
      <c r="X323" s="22"/>
      <c r="Y323" s="22"/>
      <c r="Z323" s="22"/>
      <c r="AA323" s="22"/>
      <c r="AB323" s="22"/>
      <c r="AC323" s="22"/>
      <c r="AD323" s="22"/>
      <c r="AE323" s="18"/>
    </row>
    <row r="324" spans="4:31" x14ac:dyDescent="0.2">
      <c r="D324" s="18"/>
      <c r="E324" s="18"/>
      <c r="F324" s="24"/>
      <c r="G324" s="25"/>
      <c r="H324" s="21"/>
      <c r="I324" s="22"/>
      <c r="J324" s="22"/>
      <c r="K324" s="22"/>
      <c r="L324" s="22"/>
      <c r="M324" s="22"/>
      <c r="N324" s="22"/>
      <c r="O324" s="22"/>
      <c r="P324" s="22"/>
      <c r="Q324" s="22"/>
      <c r="R324" s="22"/>
      <c r="S324" s="22"/>
      <c r="T324" s="22"/>
      <c r="U324" s="18"/>
      <c r="V324" s="22"/>
      <c r="W324" s="22"/>
      <c r="X324" s="22"/>
      <c r="Y324" s="22"/>
      <c r="Z324" s="22"/>
      <c r="AA324" s="22"/>
      <c r="AB324" s="22"/>
      <c r="AC324" s="22"/>
      <c r="AD324" s="22"/>
      <c r="AE324" s="18"/>
    </row>
    <row r="325" spans="4:31" x14ac:dyDescent="0.2">
      <c r="D325" s="18"/>
      <c r="E325" s="18"/>
      <c r="F325" s="24"/>
      <c r="G325" s="25"/>
      <c r="H325" s="21"/>
      <c r="I325" s="22"/>
      <c r="J325" s="22"/>
      <c r="K325" s="22"/>
      <c r="L325" s="22"/>
      <c r="M325" s="22"/>
      <c r="N325" s="22"/>
      <c r="O325" s="22"/>
      <c r="P325" s="22"/>
      <c r="Q325" s="22"/>
      <c r="R325" s="22"/>
      <c r="S325" s="22"/>
      <c r="T325" s="22"/>
      <c r="U325" s="18"/>
      <c r="V325" s="22"/>
      <c r="W325" s="22"/>
      <c r="X325" s="22"/>
      <c r="Y325" s="22"/>
      <c r="Z325" s="22"/>
      <c r="AA325" s="22"/>
      <c r="AB325" s="22"/>
      <c r="AC325" s="22"/>
      <c r="AD325" s="22"/>
      <c r="AE325" s="18"/>
    </row>
    <row r="326" spans="4:31" x14ac:dyDescent="0.2">
      <c r="D326" s="18"/>
      <c r="E326" s="18"/>
      <c r="F326" s="24"/>
      <c r="G326" s="25"/>
      <c r="H326" s="21"/>
      <c r="I326" s="22"/>
      <c r="J326" s="22"/>
      <c r="K326" s="22"/>
      <c r="L326" s="22"/>
      <c r="M326" s="22"/>
      <c r="N326" s="22"/>
      <c r="O326" s="22"/>
      <c r="P326" s="22"/>
      <c r="Q326" s="22"/>
      <c r="R326" s="22"/>
      <c r="S326" s="22"/>
      <c r="T326" s="22"/>
      <c r="U326" s="18"/>
      <c r="V326" s="22"/>
      <c r="W326" s="22"/>
      <c r="X326" s="22"/>
      <c r="Y326" s="22"/>
      <c r="Z326" s="22"/>
      <c r="AA326" s="22"/>
      <c r="AB326" s="22"/>
      <c r="AC326" s="22"/>
      <c r="AD326" s="22"/>
      <c r="AE326" s="18"/>
    </row>
    <row r="327" spans="4:31" x14ac:dyDescent="0.2">
      <c r="D327" s="18"/>
      <c r="E327" s="18"/>
      <c r="F327" s="24"/>
      <c r="G327" s="25"/>
      <c r="H327" s="21"/>
      <c r="I327" s="22"/>
      <c r="J327" s="22"/>
      <c r="K327" s="22"/>
      <c r="L327" s="22"/>
      <c r="M327" s="22"/>
      <c r="N327" s="22"/>
      <c r="O327" s="22"/>
      <c r="P327" s="22"/>
      <c r="Q327" s="22"/>
      <c r="R327" s="22"/>
      <c r="S327" s="22"/>
      <c r="T327" s="22"/>
      <c r="U327" s="18"/>
      <c r="V327" s="22"/>
      <c r="W327" s="22"/>
      <c r="X327" s="22"/>
      <c r="Y327" s="22"/>
      <c r="Z327" s="22"/>
      <c r="AA327" s="22"/>
      <c r="AB327" s="22"/>
      <c r="AC327" s="22"/>
      <c r="AD327" s="22"/>
      <c r="AE327" s="18"/>
    </row>
    <row r="328" spans="4:31" x14ac:dyDescent="0.2">
      <c r="D328" s="18"/>
      <c r="E328" s="18"/>
      <c r="F328" s="24"/>
      <c r="G328" s="25"/>
      <c r="H328" s="21"/>
      <c r="I328" s="22"/>
      <c r="J328" s="22"/>
      <c r="K328" s="22"/>
      <c r="L328" s="22"/>
      <c r="M328" s="22"/>
      <c r="N328" s="22"/>
      <c r="O328" s="22"/>
      <c r="P328" s="22"/>
      <c r="Q328" s="22"/>
      <c r="R328" s="22"/>
      <c r="S328" s="22"/>
      <c r="T328" s="22"/>
      <c r="U328" s="18"/>
      <c r="V328" s="22"/>
      <c r="W328" s="22"/>
      <c r="X328" s="22"/>
      <c r="Y328" s="22"/>
      <c r="Z328" s="22"/>
      <c r="AA328" s="22"/>
      <c r="AB328" s="22"/>
      <c r="AC328" s="22"/>
      <c r="AD328" s="22"/>
      <c r="AE328" s="18"/>
    </row>
    <row r="329" spans="4:31" x14ac:dyDescent="0.2">
      <c r="D329" s="18"/>
      <c r="E329" s="18"/>
      <c r="F329" s="24"/>
      <c r="G329" s="25"/>
      <c r="H329" s="21"/>
      <c r="I329" s="22"/>
      <c r="J329" s="22"/>
      <c r="K329" s="22"/>
      <c r="L329" s="22"/>
      <c r="M329" s="22"/>
      <c r="N329" s="22"/>
      <c r="O329" s="22"/>
      <c r="P329" s="22"/>
      <c r="Q329" s="22"/>
      <c r="R329" s="22"/>
      <c r="S329" s="22"/>
      <c r="T329" s="22"/>
      <c r="U329" s="18"/>
      <c r="V329" s="22"/>
      <c r="W329" s="22"/>
      <c r="X329" s="22"/>
      <c r="Y329" s="22"/>
      <c r="Z329" s="22"/>
      <c r="AA329" s="22"/>
      <c r="AB329" s="22"/>
      <c r="AC329" s="22"/>
      <c r="AD329" s="22"/>
      <c r="AE329" s="18"/>
    </row>
    <row r="330" spans="4:31" x14ac:dyDescent="0.2">
      <c r="D330" s="18"/>
      <c r="E330" s="18"/>
      <c r="F330" s="24"/>
      <c r="G330" s="25"/>
      <c r="H330" s="21"/>
      <c r="I330" s="22"/>
      <c r="J330" s="22"/>
      <c r="K330" s="22"/>
      <c r="L330" s="22"/>
      <c r="M330" s="22"/>
      <c r="N330" s="22"/>
      <c r="O330" s="22"/>
      <c r="P330" s="22"/>
      <c r="Q330" s="22"/>
      <c r="R330" s="22"/>
      <c r="S330" s="22"/>
      <c r="T330" s="22"/>
      <c r="U330" s="18"/>
      <c r="V330" s="22"/>
      <c r="W330" s="22"/>
      <c r="X330" s="22"/>
      <c r="Y330" s="22"/>
      <c r="Z330" s="22"/>
      <c r="AA330" s="22"/>
      <c r="AB330" s="22"/>
      <c r="AC330" s="22"/>
      <c r="AD330" s="22"/>
      <c r="AE330" s="18"/>
    </row>
    <row r="331" spans="4:31" x14ac:dyDescent="0.2">
      <c r="D331" s="18"/>
      <c r="E331" s="18"/>
      <c r="F331" s="24"/>
      <c r="G331" s="25"/>
      <c r="H331" s="21"/>
      <c r="I331" s="22"/>
      <c r="J331" s="22"/>
      <c r="K331" s="22"/>
      <c r="L331" s="22"/>
      <c r="M331" s="22"/>
      <c r="N331" s="22"/>
      <c r="O331" s="22"/>
      <c r="P331" s="22"/>
      <c r="Q331" s="22"/>
      <c r="R331" s="22"/>
      <c r="S331" s="22"/>
      <c r="T331" s="22"/>
      <c r="U331" s="18"/>
      <c r="V331" s="22"/>
      <c r="W331" s="22"/>
      <c r="X331" s="22"/>
      <c r="Y331" s="22"/>
      <c r="Z331" s="22"/>
      <c r="AA331" s="22"/>
      <c r="AB331" s="22"/>
      <c r="AC331" s="22"/>
      <c r="AD331" s="22"/>
      <c r="AE331" s="18"/>
    </row>
    <row r="332" spans="4:31" x14ac:dyDescent="0.2">
      <c r="D332" s="18"/>
      <c r="E332" s="18"/>
      <c r="F332" s="24"/>
      <c r="G332" s="25"/>
      <c r="H332" s="21"/>
      <c r="I332" s="22"/>
      <c r="J332" s="22"/>
      <c r="K332" s="22"/>
      <c r="L332" s="22"/>
      <c r="M332" s="22"/>
      <c r="N332" s="22"/>
      <c r="O332" s="22"/>
      <c r="P332" s="22"/>
      <c r="Q332" s="22"/>
      <c r="R332" s="22"/>
      <c r="S332" s="22"/>
      <c r="T332" s="22"/>
      <c r="U332" s="18"/>
      <c r="V332" s="22"/>
      <c r="W332" s="22"/>
      <c r="X332" s="22"/>
      <c r="Y332" s="22"/>
      <c r="Z332" s="22"/>
      <c r="AA332" s="22"/>
      <c r="AB332" s="22"/>
      <c r="AC332" s="22"/>
      <c r="AD332" s="22"/>
      <c r="AE332" s="18"/>
    </row>
    <row r="333" spans="4:31" x14ac:dyDescent="0.2">
      <c r="D333" s="18"/>
      <c r="E333" s="18"/>
      <c r="F333" s="24"/>
      <c r="G333" s="25"/>
      <c r="H333" s="21"/>
      <c r="I333" s="22"/>
      <c r="J333" s="22"/>
      <c r="K333" s="22"/>
      <c r="L333" s="22"/>
      <c r="M333" s="22"/>
      <c r="N333" s="22"/>
      <c r="O333" s="22"/>
      <c r="P333" s="22"/>
      <c r="Q333" s="22"/>
      <c r="R333" s="22"/>
      <c r="S333" s="22"/>
      <c r="T333" s="22"/>
      <c r="U333" s="18"/>
      <c r="V333" s="22"/>
      <c r="W333" s="22"/>
      <c r="X333" s="22"/>
      <c r="Y333" s="22"/>
      <c r="Z333" s="22"/>
      <c r="AA333" s="22"/>
      <c r="AB333" s="22"/>
      <c r="AC333" s="22"/>
      <c r="AD333" s="22"/>
      <c r="AE333" s="18"/>
    </row>
    <row r="334" spans="4:31" x14ac:dyDescent="0.2">
      <c r="D334" s="18"/>
      <c r="E334" s="18"/>
      <c r="F334" s="24"/>
      <c r="G334" s="25"/>
      <c r="H334" s="21"/>
      <c r="I334" s="22"/>
      <c r="J334" s="22"/>
      <c r="K334" s="22"/>
      <c r="L334" s="22"/>
      <c r="M334" s="22"/>
      <c r="N334" s="22"/>
      <c r="O334" s="22"/>
      <c r="P334" s="22"/>
      <c r="Q334" s="22"/>
      <c r="R334" s="22"/>
      <c r="S334" s="22"/>
      <c r="T334" s="22"/>
      <c r="U334" s="18"/>
      <c r="V334" s="22"/>
      <c r="W334" s="22"/>
      <c r="X334" s="22"/>
      <c r="Y334" s="22"/>
      <c r="Z334" s="22"/>
      <c r="AA334" s="22"/>
      <c r="AB334" s="22"/>
      <c r="AC334" s="22"/>
      <c r="AD334" s="22"/>
      <c r="AE334" s="18"/>
    </row>
    <row r="335" spans="4:31" x14ac:dyDescent="0.2">
      <c r="D335" s="18"/>
      <c r="E335" s="18"/>
      <c r="F335" s="24"/>
      <c r="G335" s="25"/>
      <c r="H335" s="21"/>
      <c r="I335" s="22"/>
      <c r="J335" s="22"/>
      <c r="K335" s="22"/>
      <c r="L335" s="22"/>
      <c r="M335" s="22"/>
      <c r="N335" s="22"/>
      <c r="O335" s="22"/>
      <c r="P335" s="22"/>
      <c r="Q335" s="22"/>
      <c r="R335" s="22"/>
      <c r="S335" s="22"/>
      <c r="T335" s="22"/>
      <c r="U335" s="18"/>
      <c r="V335" s="22"/>
      <c r="W335" s="22"/>
      <c r="X335" s="22"/>
      <c r="Y335" s="22"/>
      <c r="Z335" s="22"/>
      <c r="AA335" s="22"/>
      <c r="AB335" s="22"/>
      <c r="AC335" s="22"/>
      <c r="AD335" s="22"/>
      <c r="AE335" s="18"/>
    </row>
    <row r="336" spans="4:31" x14ac:dyDescent="0.2">
      <c r="D336" s="18"/>
      <c r="E336" s="18"/>
      <c r="F336" s="24"/>
      <c r="G336" s="25"/>
      <c r="H336" s="21"/>
      <c r="I336" s="22"/>
      <c r="J336" s="22"/>
      <c r="K336" s="22"/>
      <c r="L336" s="22"/>
      <c r="M336" s="22"/>
      <c r="N336" s="22"/>
      <c r="O336" s="22"/>
      <c r="P336" s="22"/>
      <c r="Q336" s="22"/>
      <c r="R336" s="22"/>
      <c r="S336" s="22"/>
      <c r="T336" s="22"/>
      <c r="U336" s="18"/>
      <c r="V336" s="22"/>
      <c r="W336" s="22"/>
      <c r="X336" s="22"/>
      <c r="Y336" s="22"/>
      <c r="Z336" s="22"/>
      <c r="AA336" s="22"/>
      <c r="AB336" s="22"/>
      <c r="AC336" s="22"/>
      <c r="AD336" s="22"/>
      <c r="AE336" s="18"/>
    </row>
    <row r="337" spans="4:31" x14ac:dyDescent="0.2">
      <c r="D337" s="18"/>
      <c r="E337" s="18"/>
      <c r="F337" s="24"/>
      <c r="G337" s="25"/>
      <c r="H337" s="21"/>
      <c r="I337" s="22"/>
      <c r="J337" s="22"/>
      <c r="K337" s="22"/>
      <c r="L337" s="22"/>
      <c r="M337" s="22"/>
      <c r="N337" s="22"/>
      <c r="O337" s="22"/>
      <c r="P337" s="22"/>
      <c r="Q337" s="22"/>
      <c r="R337" s="22"/>
      <c r="S337" s="22"/>
      <c r="T337" s="22"/>
      <c r="U337" s="18"/>
      <c r="V337" s="22"/>
      <c r="W337" s="22"/>
      <c r="X337" s="22"/>
      <c r="Y337" s="22"/>
      <c r="Z337" s="22"/>
      <c r="AA337" s="22"/>
      <c r="AB337" s="22"/>
      <c r="AC337" s="22"/>
      <c r="AD337" s="22"/>
      <c r="AE337" s="18"/>
    </row>
    <row r="338" spans="4:31" x14ac:dyDescent="0.2">
      <c r="D338" s="18"/>
      <c r="E338" s="18"/>
      <c r="F338" s="24"/>
      <c r="G338" s="25"/>
      <c r="H338" s="21"/>
      <c r="I338" s="22"/>
      <c r="J338" s="22"/>
      <c r="K338" s="22"/>
      <c r="L338" s="22"/>
      <c r="M338" s="22"/>
      <c r="N338" s="22"/>
      <c r="O338" s="22"/>
      <c r="P338" s="22"/>
      <c r="Q338" s="22"/>
      <c r="R338" s="22"/>
      <c r="S338" s="22"/>
      <c r="T338" s="22"/>
      <c r="U338" s="18"/>
      <c r="V338" s="22"/>
      <c r="W338" s="22"/>
      <c r="X338" s="22"/>
      <c r="Y338" s="22"/>
      <c r="Z338" s="22"/>
      <c r="AA338" s="22"/>
      <c r="AB338" s="22"/>
      <c r="AC338" s="22"/>
      <c r="AD338" s="22"/>
      <c r="AE338" s="18"/>
    </row>
    <row r="339" spans="4:31" x14ac:dyDescent="0.2">
      <c r="D339" s="18"/>
      <c r="E339" s="18"/>
      <c r="F339" s="24"/>
      <c r="G339" s="25"/>
      <c r="H339" s="21"/>
      <c r="I339" s="22"/>
      <c r="J339" s="22"/>
      <c r="K339" s="22"/>
      <c r="L339" s="22"/>
      <c r="M339" s="22"/>
      <c r="N339" s="22"/>
      <c r="O339" s="22"/>
      <c r="P339" s="22"/>
      <c r="Q339" s="22"/>
      <c r="R339" s="22"/>
      <c r="S339" s="22"/>
      <c r="T339" s="22"/>
      <c r="U339" s="18"/>
      <c r="V339" s="22"/>
      <c r="W339" s="22"/>
      <c r="X339" s="22"/>
      <c r="Y339" s="22"/>
      <c r="Z339" s="22"/>
      <c r="AA339" s="22"/>
      <c r="AB339" s="22"/>
      <c r="AC339" s="22"/>
      <c r="AD339" s="22"/>
      <c r="AE339" s="18"/>
    </row>
    <row r="340" spans="4:31" x14ac:dyDescent="0.2">
      <c r="D340" s="18"/>
      <c r="E340" s="18"/>
      <c r="F340" s="24"/>
      <c r="G340" s="25"/>
      <c r="H340" s="21"/>
      <c r="I340" s="22"/>
      <c r="J340" s="22"/>
      <c r="K340" s="22"/>
      <c r="L340" s="22"/>
      <c r="M340" s="22"/>
      <c r="N340" s="22"/>
      <c r="O340" s="22"/>
      <c r="P340" s="22"/>
      <c r="Q340" s="22"/>
      <c r="R340" s="22"/>
      <c r="S340" s="22"/>
      <c r="T340" s="22"/>
      <c r="U340" s="18"/>
      <c r="V340" s="22"/>
      <c r="W340" s="22"/>
      <c r="X340" s="22"/>
      <c r="Y340" s="22"/>
      <c r="Z340" s="22"/>
      <c r="AA340" s="22"/>
      <c r="AB340" s="22"/>
      <c r="AC340" s="22"/>
      <c r="AD340" s="22"/>
      <c r="AE340" s="18"/>
    </row>
    <row r="341" spans="4:31" x14ac:dyDescent="0.2">
      <c r="D341" s="18"/>
      <c r="E341" s="18"/>
      <c r="F341" s="24"/>
      <c r="G341" s="25"/>
      <c r="H341" s="21"/>
      <c r="I341" s="22"/>
      <c r="J341" s="22"/>
      <c r="K341" s="22"/>
      <c r="L341" s="22"/>
      <c r="M341" s="22"/>
      <c r="N341" s="22"/>
      <c r="O341" s="22"/>
      <c r="P341" s="22"/>
      <c r="Q341" s="22"/>
      <c r="R341" s="22"/>
      <c r="S341" s="22"/>
      <c r="T341" s="22"/>
      <c r="U341" s="18"/>
      <c r="V341" s="22"/>
      <c r="W341" s="22"/>
      <c r="X341" s="22"/>
      <c r="Y341" s="22"/>
      <c r="Z341" s="22"/>
      <c r="AA341" s="22"/>
      <c r="AB341" s="22"/>
      <c r="AC341" s="22"/>
      <c r="AD341" s="22"/>
      <c r="AE341" s="18"/>
    </row>
    <row r="342" spans="4:31" x14ac:dyDescent="0.2">
      <c r="D342" s="18"/>
      <c r="E342" s="18"/>
      <c r="F342" s="24"/>
      <c r="G342" s="25"/>
      <c r="H342" s="21"/>
      <c r="I342" s="22"/>
      <c r="J342" s="22"/>
      <c r="K342" s="22"/>
      <c r="L342" s="22"/>
      <c r="M342" s="22"/>
      <c r="N342" s="22"/>
      <c r="O342" s="22"/>
      <c r="P342" s="22"/>
      <c r="Q342" s="22"/>
      <c r="R342" s="22"/>
      <c r="S342" s="22"/>
      <c r="T342" s="22"/>
      <c r="U342" s="18"/>
      <c r="V342" s="22"/>
      <c r="W342" s="22"/>
      <c r="X342" s="22"/>
      <c r="Y342" s="22"/>
      <c r="Z342" s="22"/>
      <c r="AA342" s="22"/>
      <c r="AB342" s="22"/>
      <c r="AC342" s="22"/>
      <c r="AD342" s="22"/>
      <c r="AE342" s="18"/>
    </row>
    <row r="343" spans="4:31" x14ac:dyDescent="0.2">
      <c r="D343" s="18"/>
      <c r="E343" s="18"/>
      <c r="F343" s="24"/>
      <c r="G343" s="25"/>
      <c r="H343" s="21"/>
      <c r="I343" s="22"/>
      <c r="J343" s="22"/>
      <c r="K343" s="22"/>
      <c r="L343" s="22"/>
      <c r="M343" s="22"/>
      <c r="N343" s="22"/>
      <c r="O343" s="22"/>
      <c r="P343" s="22"/>
      <c r="Q343" s="22"/>
      <c r="R343" s="22"/>
      <c r="S343" s="22"/>
      <c r="T343" s="22"/>
      <c r="U343" s="18"/>
      <c r="V343" s="22"/>
      <c r="W343" s="22"/>
      <c r="X343" s="22"/>
      <c r="Y343" s="22"/>
      <c r="Z343" s="22"/>
      <c r="AA343" s="22"/>
      <c r="AB343" s="22"/>
      <c r="AC343" s="22"/>
      <c r="AD343" s="22"/>
      <c r="AE343" s="18"/>
    </row>
    <row r="344" spans="4:31" x14ac:dyDescent="0.2">
      <c r="D344" s="18"/>
      <c r="E344" s="18"/>
      <c r="F344" s="18"/>
      <c r="G344" s="18"/>
      <c r="H344" s="19"/>
      <c r="I344" s="18"/>
      <c r="J344" s="18"/>
      <c r="K344" s="18"/>
      <c r="L344" s="18"/>
      <c r="M344" s="18"/>
      <c r="N344" s="18"/>
      <c r="O344" s="18"/>
      <c r="P344" s="18"/>
      <c r="Q344" s="18"/>
      <c r="R344" s="18"/>
      <c r="S344" s="18"/>
      <c r="T344" s="18"/>
      <c r="U344" s="18"/>
      <c r="V344" s="18"/>
      <c r="W344" s="18"/>
      <c r="X344" s="18"/>
      <c r="Y344" s="18"/>
      <c r="Z344" s="18"/>
      <c r="AA344" s="18"/>
      <c r="AB344" s="18"/>
      <c r="AC344" s="18"/>
      <c r="AD344" s="18"/>
      <c r="AE344" s="18"/>
    </row>
    <row r="345" spans="4:31" x14ac:dyDescent="0.2">
      <c r="D345" s="18"/>
      <c r="E345" s="18"/>
      <c r="F345" s="18"/>
      <c r="G345" s="18"/>
      <c r="H345" s="19"/>
      <c r="I345" s="18"/>
      <c r="J345" s="18"/>
      <c r="K345" s="18"/>
      <c r="L345" s="18"/>
      <c r="M345" s="18"/>
      <c r="N345" s="18"/>
      <c r="O345" s="18"/>
      <c r="P345" s="18"/>
      <c r="Q345" s="18"/>
      <c r="R345" s="18"/>
      <c r="S345" s="18"/>
      <c r="T345" s="18"/>
      <c r="U345" s="18"/>
      <c r="V345" s="18"/>
      <c r="W345" s="18"/>
      <c r="X345" s="18"/>
      <c r="Y345" s="18"/>
      <c r="Z345" s="18"/>
      <c r="AA345" s="18"/>
      <c r="AB345" s="18"/>
      <c r="AC345" s="18"/>
      <c r="AD345" s="18"/>
      <c r="AE345" s="18"/>
    </row>
    <row r="346" spans="4:31" x14ac:dyDescent="0.2">
      <c r="D346" s="18"/>
      <c r="E346" s="18"/>
      <c r="F346" s="18"/>
      <c r="G346" s="18"/>
      <c r="H346" s="19"/>
      <c r="I346" s="18"/>
      <c r="J346" s="18"/>
      <c r="K346" s="18"/>
      <c r="L346" s="18"/>
      <c r="M346" s="18"/>
      <c r="N346" s="18"/>
      <c r="O346" s="18"/>
      <c r="P346" s="18"/>
      <c r="Q346" s="18"/>
      <c r="R346" s="18"/>
      <c r="S346" s="18"/>
      <c r="T346" s="18"/>
      <c r="U346" s="18"/>
      <c r="V346" s="18"/>
      <c r="W346" s="18"/>
      <c r="X346" s="18"/>
      <c r="Y346" s="18"/>
      <c r="Z346" s="18"/>
      <c r="AA346" s="18"/>
      <c r="AB346" s="18"/>
      <c r="AC346" s="18"/>
      <c r="AD346" s="18"/>
      <c r="AE346" s="18"/>
    </row>
    <row r="347" spans="4:31" x14ac:dyDescent="0.2">
      <c r="D347" s="18"/>
      <c r="E347" s="18"/>
      <c r="F347" s="18"/>
      <c r="G347" s="18"/>
      <c r="H347" s="19"/>
      <c r="I347" s="18"/>
      <c r="J347" s="18"/>
      <c r="K347" s="18"/>
      <c r="L347" s="18"/>
      <c r="M347" s="18"/>
      <c r="N347" s="18"/>
      <c r="O347" s="18"/>
      <c r="P347" s="18"/>
      <c r="Q347" s="18"/>
      <c r="R347" s="18"/>
      <c r="S347" s="18"/>
      <c r="T347" s="18"/>
      <c r="U347" s="18"/>
      <c r="V347" s="18"/>
      <c r="W347" s="18"/>
      <c r="X347" s="18"/>
      <c r="Y347" s="18"/>
      <c r="Z347" s="18"/>
      <c r="AA347" s="18"/>
      <c r="AB347" s="18"/>
      <c r="AC347" s="18"/>
      <c r="AD347" s="18"/>
      <c r="AE347" s="18"/>
    </row>
  </sheetData>
  <conditionalFormatting sqref="G10:G343">
    <cfRule type="expression" dxfId="0" priority="1">
      <formula>LEN(TRIM(G10))&gt;0</formula>
    </cfRule>
  </conditionalFormatting>
  <dataValidations count="1">
    <dataValidation type="custom" allowBlank="1" showInputMessage="1" showErrorMessage="1" error="Only value INICIO is allowed." promptTitle="INICIO" prompt="Only value INICIO is allowed." sqref="A2" xr:uid="{B05F5547-9ADF-EC49-A13F-A1D5EABE332F}">
      <formula1>"INICIO"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69" r:id="rId3" name="List1">
              <controlPr defaultSize="0" autoFill="0" autoPict="0">
                <anchor moveWithCells="1">
                  <from>
                    <xdr:col>16</xdr:col>
                    <xdr:colOff>0</xdr:colOff>
                    <xdr:row>4</xdr:row>
                    <xdr:rowOff>0</xdr:rowOff>
                  </from>
                  <to>
                    <xdr:col>19</xdr:col>
                    <xdr:colOff>0</xdr:colOff>
                    <xdr:row>4</xdr:row>
                    <xdr:rowOff>203200</xdr:rowOff>
                  </to>
                </anchor>
              </controlPr>
            </control>
          </mc:Choice>
        </mc:AlternateContent>
        <mc:AlternateContent xmlns:mc="http://schemas.openxmlformats.org/markup-compatibility/2006">
          <mc:Choice Requires="x14">
            <control shapeId="5070" r:id="rId4" name="LangList">
              <controlPr defaultSize="0" autoFill="0" autoPict="0">
                <anchor moveWithCells="1">
                  <from>
                    <xdr:col>19</xdr:col>
                    <xdr:colOff>0</xdr:colOff>
                    <xdr:row>1</xdr:row>
                    <xdr:rowOff>0</xdr:rowOff>
                  </from>
                  <to>
                    <xdr:col>20</xdr:col>
                    <xdr:colOff>190500</xdr:colOff>
                    <xdr:row>2</xdr:row>
                    <xdr:rowOff>25400</xdr:rowOff>
                  </to>
                </anchor>
              </controlPr>
            </control>
          </mc:Choice>
        </mc:AlternateContent>
        <mc:AlternateContent xmlns:mc="http://schemas.openxmlformats.org/markup-compatibility/2006">
          <mc:Choice Requires="x14">
            <control shapeId="5071" r:id="rId5" name="Spinner 285">
              <controlPr defaultSize="0" autoPict="0" macro="[0]!Rotate">
                <anchor moveWithCells="1" sizeWithCells="1">
                  <from>
                    <xdr:col>6</xdr:col>
                    <xdr:colOff>0</xdr:colOff>
                    <xdr:row>3</xdr:row>
                    <xdr:rowOff>0</xdr:rowOff>
                  </from>
                  <to>
                    <xdr:col>6</xdr:col>
                    <xdr:colOff>203200</xdr:colOff>
                    <xdr:row>4</xdr:row>
                    <xdr:rowOff>0</xdr:rowOff>
                  </to>
                </anchor>
              </controlPr>
            </control>
          </mc:Choice>
        </mc:AlternateContent>
        <mc:AlternateContent xmlns:mc="http://schemas.openxmlformats.org/markup-compatibility/2006">
          <mc:Choice Requires="x14">
            <control shapeId="5072" r:id="rId6" name="Spinner 286">
              <controlPr defaultSize="0" autoPict="0" macro="[0]!Rotate">
                <anchor moveWithCells="1" sizeWithCells="1">
                  <from>
                    <xdr:col>6</xdr:col>
                    <xdr:colOff>0</xdr:colOff>
                    <xdr:row>4</xdr:row>
                    <xdr:rowOff>0</xdr:rowOff>
                  </from>
                  <to>
                    <xdr:col>6</xdr:col>
                    <xdr:colOff>203200</xdr:colOff>
                    <xdr:row>5</xdr:row>
                    <xdr:rowOff>0</xdr:rowOff>
                  </to>
                </anchor>
              </controlPr>
            </control>
          </mc:Choice>
        </mc:AlternateContent>
        <mc:AlternateContent xmlns:mc="http://schemas.openxmlformats.org/markup-compatibility/2006">
          <mc:Choice Requires="x14">
            <control shapeId="5073" r:id="rId7" name="Spinner 287">
              <controlPr defaultSize="0" autoPict="0" macro="[0]!Rotate">
                <anchor moveWithCells="1" sizeWithCells="1">
                  <from>
                    <xdr:col>6</xdr:col>
                    <xdr:colOff>0</xdr:colOff>
                    <xdr:row>5</xdr:row>
                    <xdr:rowOff>0</xdr:rowOff>
                  </from>
                  <to>
                    <xdr:col>6</xdr:col>
                    <xdr:colOff>203200</xdr:colOff>
                    <xdr:row>6</xdr:row>
                    <xdr:rowOff>0</xdr:rowOff>
                  </to>
                </anchor>
              </controlPr>
            </control>
          </mc:Choice>
        </mc:AlternateContent>
        <mc:AlternateContent xmlns:mc="http://schemas.openxmlformats.org/markup-compatibility/2006">
          <mc:Choice Requires="x14">
            <control shapeId="5074" r:id="rId8" name="1">
              <controlPr defaultSize="0" print="0" autoFill="0" autoPict="0" macro="[0]!ShowHideMenu">
                <anchor moveWithCells="1" sizeWithCells="1">
                  <from>
                    <xdr:col>9</xdr:col>
                    <xdr:colOff>406400</xdr:colOff>
                    <xdr:row>1</xdr:row>
                    <xdr:rowOff>0</xdr:rowOff>
                  </from>
                  <to>
                    <xdr:col>10</xdr:col>
                    <xdr:colOff>0</xdr:colOff>
                    <xdr:row>2</xdr:row>
                    <xdr:rowOff>0</xdr:rowOff>
                  </to>
                </anchor>
              </controlPr>
            </control>
          </mc:Choice>
        </mc:AlternateContent>
        <mc:AlternateContent xmlns:mc="http://schemas.openxmlformats.org/markup-compatibility/2006">
          <mc:Choice Requires="x14">
            <control shapeId="5075" r:id="rId9" name="Button 289">
              <controlPr defaultSize="0" print="0" autoFill="0" autoPict="0" macro="[0]!_xludf.HELP">
                <anchor moveWithCells="1" sizeWithCells="1">
                  <from>
                    <xdr:col>10</xdr:col>
                    <xdr:colOff>406400</xdr:colOff>
                    <xdr:row>1</xdr:row>
                    <xdr:rowOff>0</xdr:rowOff>
                  </from>
                  <to>
                    <xdr:col>11</xdr:col>
                    <xdr:colOff>0</xdr:colOff>
                    <xdr:row>2</xdr:row>
                    <xdr:rowOff>0</xdr:rowOff>
                  </to>
                </anchor>
              </controlPr>
            </control>
          </mc:Choice>
        </mc:AlternateContent>
        <mc:AlternateContent xmlns:mc="http://schemas.openxmlformats.org/markup-compatibility/2006">
          <mc:Choice Requires="x14">
            <control shapeId="5076" r:id="rId10" name="AutoSc">
              <controlPr defaultSize="0" print="0" autoFill="0" autoPict="0" macro="[0]!AutoScale">
                <anchor moveWithCells="1" sizeWithCells="1">
                  <from>
                    <xdr:col>4</xdr:col>
                    <xdr:colOff>0</xdr:colOff>
                    <xdr:row>4</xdr:row>
                    <xdr:rowOff>0</xdr:rowOff>
                  </from>
                  <to>
                    <xdr:col>4</xdr:col>
                    <xdr:colOff>406400</xdr:colOff>
                    <xdr:row>5</xdr:row>
                    <xdr:rowOff>0</xdr:rowOff>
                  </to>
                </anchor>
              </controlPr>
            </control>
          </mc:Choice>
        </mc:AlternateContent>
        <mc:AlternateContent xmlns:mc="http://schemas.openxmlformats.org/markup-compatibility/2006">
          <mc:Choice Requires="x14">
            <control shapeId="5077" r:id="rId11" name="AddButt">
              <controlPr defaultSize="0" print="0" autoFill="0" autoPict="0" macro="[0]!AddObject">
                <anchor moveWithCells="1" sizeWithCells="1">
                  <from>
                    <xdr:col>1</xdr:col>
                    <xdr:colOff>0</xdr:colOff>
                    <xdr:row>2</xdr:row>
                    <xdr:rowOff>0</xdr:rowOff>
                  </from>
                  <to>
                    <xdr:col>1</xdr:col>
                    <xdr:colOff>406400</xdr:colOff>
                    <xdr:row>3</xdr:row>
                    <xdr:rowOff>0</xdr:rowOff>
                  </to>
                </anchor>
              </controlPr>
            </control>
          </mc:Choice>
        </mc:AlternateContent>
        <mc:AlternateContent xmlns:mc="http://schemas.openxmlformats.org/markup-compatibility/2006">
          <mc:Choice Requires="x14">
            <control shapeId="5078" r:id="rId12" name="DelButt">
              <controlPr defaultSize="0" print="0" autoFill="0" autoPict="0" macro="[0]!AddObject">
                <anchor moveWithCells="1" sizeWithCells="1">
                  <from>
                    <xdr:col>2</xdr:col>
                    <xdr:colOff>0</xdr:colOff>
                    <xdr:row>2</xdr:row>
                    <xdr:rowOff>0</xdr:rowOff>
                  </from>
                  <to>
                    <xdr:col>2</xdr:col>
                    <xdr:colOff>406400</xdr:colOff>
                    <xdr:row>3</xdr:row>
                    <xdr:rowOff>0</xdr:rowOff>
                  </to>
                </anchor>
              </controlPr>
            </control>
          </mc:Choice>
        </mc:AlternateContent>
        <mc:AlternateContent xmlns:mc="http://schemas.openxmlformats.org/markup-compatibility/2006">
          <mc:Choice Requires="x14">
            <control shapeId="5079" r:id="rId13" name="Button 293">
              <controlPr defaultSize="0" print="0" autoFill="0" autoPict="0" macro="[0]!Rotate">
                <anchor moveWithCells="1" sizeWithCells="1">
                  <from>
                    <xdr:col>5</xdr:col>
                    <xdr:colOff>406400</xdr:colOff>
                    <xdr:row>2</xdr:row>
                    <xdr:rowOff>0</xdr:rowOff>
                  </from>
                  <to>
                    <xdr:col>6</xdr:col>
                    <xdr:colOff>0</xdr:colOff>
                    <xdr:row>3</xdr:row>
                    <xdr:rowOff>0</xdr:rowOff>
                  </to>
                </anchor>
              </controlPr>
            </control>
          </mc:Choice>
        </mc:AlternateContent>
        <mc:AlternateContent xmlns:mc="http://schemas.openxmlformats.org/markup-compatibility/2006">
          <mc:Choice Requires="x14">
            <control shapeId="5080" r:id="rId14" name="Button 294">
              <controlPr defaultSize="0" print="0" autoFill="0" autoPict="0" macro="[0]!rotate_XZY">
                <anchor moveWithCells="1" sizeWithCells="1">
                  <from>
                    <xdr:col>6</xdr:col>
                    <xdr:colOff>0</xdr:colOff>
                    <xdr:row>1</xdr:row>
                    <xdr:rowOff>0</xdr:rowOff>
                  </from>
                  <to>
                    <xdr:col>6</xdr:col>
                    <xdr:colOff>406400</xdr:colOff>
                    <xdr:row>2</xdr:row>
                    <xdr:rowOff>0</xdr:rowOff>
                  </to>
                </anchor>
              </controlPr>
            </control>
          </mc:Choice>
        </mc:AlternateContent>
        <mc:AlternateContent xmlns:mc="http://schemas.openxmlformats.org/markup-compatibility/2006">
          <mc:Choice Requires="x14">
            <control shapeId="5081" r:id="rId15" name="Button 295">
              <controlPr defaultSize="0" print="0" autoFill="0" autoPict="0" macro="[0]!rotate_XY">
                <anchor moveWithCells="1" sizeWithCells="1">
                  <from>
                    <xdr:col>6</xdr:col>
                    <xdr:colOff>0</xdr:colOff>
                    <xdr:row>2</xdr:row>
                    <xdr:rowOff>0</xdr:rowOff>
                  </from>
                  <to>
                    <xdr:col>6</xdr:col>
                    <xdr:colOff>406400</xdr:colOff>
                    <xdr:row>3</xdr:row>
                    <xdr:rowOff>0</xdr:rowOff>
                  </to>
                </anchor>
              </controlPr>
            </control>
          </mc:Choice>
        </mc:AlternateContent>
        <mc:AlternateContent xmlns:mc="http://schemas.openxmlformats.org/markup-compatibility/2006">
          <mc:Choice Requires="x14">
            <control shapeId="5082" r:id="rId16" name="Button 296">
              <controlPr defaultSize="0" print="0" autoFill="0" autoPict="0" macro="[0]!rotate_XZ">
                <anchor moveWithCells="1" sizeWithCells="1">
                  <from>
                    <xdr:col>6</xdr:col>
                    <xdr:colOff>406400</xdr:colOff>
                    <xdr:row>2</xdr:row>
                    <xdr:rowOff>0</xdr:rowOff>
                  </from>
                  <to>
                    <xdr:col>7</xdr:col>
                    <xdr:colOff>0</xdr:colOff>
                    <xdr:row>3</xdr:row>
                    <xdr:rowOff>0</xdr:rowOff>
                  </to>
                </anchor>
              </controlPr>
            </control>
          </mc:Choice>
        </mc:AlternateContent>
        <mc:AlternateContent xmlns:mc="http://schemas.openxmlformats.org/markup-compatibility/2006">
          <mc:Choice Requires="x14">
            <control shapeId="5083" r:id="rId17" name="Button 297">
              <controlPr defaultSize="0" print="0" autoFill="0" autoPict="0" macro="[0]!rotate_YZ">
                <anchor moveWithCells="1" sizeWithCells="1">
                  <from>
                    <xdr:col>6</xdr:col>
                    <xdr:colOff>406400</xdr:colOff>
                    <xdr:row>1</xdr:row>
                    <xdr:rowOff>0</xdr:rowOff>
                  </from>
                  <to>
                    <xdr:col>7</xdr:col>
                    <xdr:colOff>0</xdr:colOff>
                    <xdr:row>2</xdr:row>
                    <xdr:rowOff>0</xdr:rowOff>
                  </to>
                </anchor>
              </controlPr>
            </control>
          </mc:Choice>
        </mc:AlternateContent>
        <mc:AlternateContent xmlns:mc="http://schemas.openxmlformats.org/markup-compatibility/2006">
          <mc:Choice Requires="x14">
            <control shapeId="5084" r:id="rId18" name="Button 298">
              <controlPr defaultSize="0" print="0" autoFill="0" autoPict="0" macro="[0]!rotate_A">
                <anchor moveWithCells="1" sizeWithCells="1">
                  <from>
                    <xdr:col>5</xdr:col>
                    <xdr:colOff>406400</xdr:colOff>
                    <xdr:row>3</xdr:row>
                    <xdr:rowOff>0</xdr:rowOff>
                  </from>
                  <to>
                    <xdr:col>6</xdr:col>
                    <xdr:colOff>0</xdr:colOff>
                    <xdr:row>4</xdr:row>
                    <xdr:rowOff>0</xdr:rowOff>
                  </to>
                </anchor>
              </controlPr>
            </control>
          </mc:Choice>
        </mc:AlternateContent>
        <mc:AlternateContent xmlns:mc="http://schemas.openxmlformats.org/markup-compatibility/2006">
          <mc:Choice Requires="x14">
            <control shapeId="5085" r:id="rId19" name="Button 299">
              <controlPr defaultSize="0" print="0" autoFill="0" autoPict="0" macro="[0]!rotate_B">
                <anchor moveWithCells="1" sizeWithCells="1">
                  <from>
                    <xdr:col>5</xdr:col>
                    <xdr:colOff>406400</xdr:colOff>
                    <xdr:row>4</xdr:row>
                    <xdr:rowOff>0</xdr:rowOff>
                  </from>
                  <to>
                    <xdr:col>6</xdr:col>
                    <xdr:colOff>0</xdr:colOff>
                    <xdr:row>5</xdr:row>
                    <xdr:rowOff>0</xdr:rowOff>
                  </to>
                </anchor>
              </controlPr>
            </control>
          </mc:Choice>
        </mc:AlternateContent>
        <mc:AlternateContent xmlns:mc="http://schemas.openxmlformats.org/markup-compatibility/2006">
          <mc:Choice Requires="x14">
            <control shapeId="5086" r:id="rId20" name="Button 300">
              <controlPr defaultSize="0" print="0" autoFill="0" autoPict="0" macro="[0]!rotate_C">
                <anchor moveWithCells="1" sizeWithCells="1">
                  <from>
                    <xdr:col>5</xdr:col>
                    <xdr:colOff>406400</xdr:colOff>
                    <xdr:row>5</xdr:row>
                    <xdr:rowOff>0</xdr:rowOff>
                  </from>
                  <to>
                    <xdr:col>6</xdr:col>
                    <xdr:colOff>0</xdr:colOff>
                    <xdr:row>6</xdr:row>
                    <xdr:rowOff>0</xdr:rowOff>
                  </to>
                </anchor>
              </controlPr>
            </control>
          </mc:Choice>
        </mc:AlternateContent>
        <mc:AlternateContent xmlns:mc="http://schemas.openxmlformats.org/markup-compatibility/2006">
          <mc:Choice Requires="x14">
            <control shapeId="5087" r:id="rId21" name="Button 301">
              <controlPr defaultSize="0" print="0" autoFill="0" autoPict="0" macro="[0]!CleanSheet">
                <anchor moveWithCells="1" sizeWithCells="1">
                  <from>
                    <xdr:col>18</xdr:col>
                    <xdr:colOff>0</xdr:colOff>
                    <xdr:row>1</xdr:row>
                    <xdr:rowOff>0</xdr:rowOff>
                  </from>
                  <to>
                    <xdr:col>19</xdr:col>
                    <xdr:colOff>0</xdr:colOff>
                    <xdr:row>2</xdr:row>
                    <xdr:rowOff>38100</xdr:rowOff>
                  </to>
                </anchor>
              </controlPr>
            </control>
          </mc:Choice>
        </mc:AlternateContent>
        <mc:AlternateContent xmlns:mc="http://schemas.openxmlformats.org/markup-compatibility/2006">
          <mc:Choice Requires="x14">
            <control shapeId="5088" r:id="rId22" name="Button 302">
              <controlPr defaultSize="0" print="0" autoFill="0" autoPict="0" macro="[0]!NewSheet">
                <anchor moveWithCells="1" sizeWithCells="1">
                  <from>
                    <xdr:col>15</xdr:col>
                    <xdr:colOff>0</xdr:colOff>
                    <xdr:row>4</xdr:row>
                    <xdr:rowOff>0</xdr:rowOff>
                  </from>
                  <to>
                    <xdr:col>16</xdr:col>
                    <xdr:colOff>0</xdr:colOff>
                    <xdr:row>5</xdr:row>
                    <xdr:rowOff>0</xdr:rowOff>
                  </to>
                </anchor>
              </controlPr>
            </control>
          </mc:Choice>
        </mc:AlternateContent>
        <mc:AlternateContent xmlns:mc="http://schemas.openxmlformats.org/markup-compatibility/2006">
          <mc:Choice Requires="x14">
            <control shapeId="5089" r:id="rId23" name="NewVector">
              <controlPr defaultSize="0" print="0" autoFill="0" autoPict="0" macro="[0]!AddNewVector">
                <anchor moveWithCells="1" sizeWithCells="1">
                  <from>
                    <xdr:col>13</xdr:col>
                    <xdr:colOff>0</xdr:colOff>
                    <xdr:row>4</xdr:row>
                    <xdr:rowOff>0</xdr:rowOff>
                  </from>
                  <to>
                    <xdr:col>14</xdr:col>
                    <xdr:colOff>0</xdr:colOff>
                    <xdr:row>5</xdr:row>
                    <xdr:rowOff>0</xdr:rowOff>
                  </to>
                </anchor>
              </controlPr>
            </control>
          </mc:Choice>
        </mc:AlternateContent>
        <mc:AlternateContent xmlns:mc="http://schemas.openxmlformats.org/markup-compatibility/2006">
          <mc:Choice Requires="x14">
            <control shapeId="5090" r:id="rId24" name="NewVectorMinus">
              <controlPr defaultSize="0" print="0" autoFill="0" autoPict="0" macro="[0]!AddObject">
                <anchor moveWithCells="1" sizeWithCells="1">
                  <from>
                    <xdr:col>14</xdr:col>
                    <xdr:colOff>0</xdr:colOff>
                    <xdr:row>4</xdr:row>
                    <xdr:rowOff>0</xdr:rowOff>
                  </from>
                  <to>
                    <xdr:col>14</xdr:col>
                    <xdr:colOff>266700</xdr:colOff>
                    <xdr:row>5</xdr:row>
                    <xdr:rowOff>0</xdr:rowOff>
                  </to>
                </anchor>
              </controlPr>
            </control>
          </mc:Choice>
        </mc:AlternateContent>
        <mc:AlternateContent xmlns:mc="http://schemas.openxmlformats.org/markup-compatibility/2006">
          <mc:Choice Requires="x14">
            <control shapeId="5091" r:id="rId25" name="ENTIRE">
              <controlPr defaultSize="0" print="0" autoFill="0" autoPict="0" macro="[0]!AddObject">
                <anchor moveWithCells="1" sizeWithCells="1">
                  <from>
                    <xdr:col>0</xdr:col>
                    <xdr:colOff>0</xdr:colOff>
                    <xdr:row>1</xdr:row>
                    <xdr:rowOff>0</xdr:rowOff>
                  </from>
                  <to>
                    <xdr:col>1</xdr:col>
                    <xdr:colOff>0</xdr:colOff>
                    <xdr:row>2</xdr:row>
                    <xdr:rowOff>0</xdr:rowOff>
                  </to>
                </anchor>
              </controlPr>
            </control>
          </mc:Choice>
        </mc:AlternateContent>
        <mc:AlternateContent xmlns:mc="http://schemas.openxmlformats.org/markup-compatibility/2006">
          <mc:Choice Requires="x14">
            <control shapeId="5092" r:id="rId26" name="Button 306">
              <controlPr defaultSize="0" print="0" autoFill="0" autoPict="0" macro="[0]!XYZNeg">
                <anchor moveWithCells="1" sizeWithCells="1">
                  <from>
                    <xdr:col>5</xdr:col>
                    <xdr:colOff>406400</xdr:colOff>
                    <xdr:row>1</xdr:row>
                    <xdr:rowOff>0</xdr:rowOff>
                  </from>
                  <to>
                    <xdr:col>6</xdr:col>
                    <xdr:colOff>0</xdr:colOff>
                    <xdr:row>2</xdr:row>
                    <xdr:rowOff>0</xdr:rowOff>
                  </to>
                </anchor>
              </controlPr>
            </control>
          </mc:Choice>
        </mc:AlternateContent>
        <mc:AlternateContent xmlns:mc="http://schemas.openxmlformats.org/markup-compatibility/2006">
          <mc:Choice Requires="x14">
            <control shapeId="5093" r:id="rId27" name="Button 307">
              <controlPr defaultSize="0" print="0" autoFill="0" autoPict="0" macro="[0]!BlackWhiteDesk">
                <anchor moveWithCells="1" sizeWithCells="1">
                  <from>
                    <xdr:col>5</xdr:col>
                    <xdr:colOff>0</xdr:colOff>
                    <xdr:row>1</xdr:row>
                    <xdr:rowOff>0</xdr:rowOff>
                  </from>
                  <to>
                    <xdr:col>5</xdr:col>
                    <xdr:colOff>406400</xdr:colOff>
                    <xdr:row>2</xdr:row>
                    <xdr:rowOff>0</xdr:rowOff>
                  </to>
                </anchor>
              </controlPr>
            </control>
          </mc:Choice>
        </mc:AlternateContent>
        <mc:AlternateContent xmlns:mc="http://schemas.openxmlformats.org/markup-compatibility/2006">
          <mc:Choice Requires="x14">
            <control shapeId="5094" r:id="rId28" name="AddVector1">
              <controlPr defaultSize="0" print="0" autoFill="0" autoPict="0" macro="[0]!AddNewVector">
                <anchor moveWithCells="1" sizeWithCells="1">
                  <from>
                    <xdr:col>19</xdr:col>
                    <xdr:colOff>0</xdr:colOff>
                    <xdr:row>4</xdr:row>
                    <xdr:rowOff>0</xdr:rowOff>
                  </from>
                  <to>
                    <xdr:col>20</xdr:col>
                    <xdr:colOff>0</xdr:colOff>
                    <xdr:row>5</xdr:row>
                    <xdr:rowOff>0</xdr:rowOff>
                  </to>
                </anchor>
              </controlPr>
            </control>
          </mc:Choice>
        </mc:AlternateContent>
        <mc:AlternateContent xmlns:mc="http://schemas.openxmlformats.org/markup-compatibility/2006">
          <mc:Choice Requires="x14">
            <control shapeId="5096" r:id="rId29" name="ChangeParBack">
              <controlPr defaultSize="0" print="0" autoFill="0" autoPict="0" macro="[0]!ChangeParameter">
                <anchor moveWithCells="1" sizeWithCells="1">
                  <from>
                    <xdr:col>9</xdr:col>
                    <xdr:colOff>0</xdr:colOff>
                    <xdr:row>3</xdr:row>
                    <xdr:rowOff>0</xdr:rowOff>
                  </from>
                  <to>
                    <xdr:col>10</xdr:col>
                    <xdr:colOff>0</xdr:colOff>
                    <xdr:row>4</xdr:row>
                    <xdr:rowOff>0</xdr:rowOff>
                  </to>
                </anchor>
              </controlPr>
            </control>
          </mc:Choice>
        </mc:AlternateContent>
        <mc:AlternateContent xmlns:mc="http://schemas.openxmlformats.org/markup-compatibility/2006">
          <mc:Choice Requires="x14">
            <control shapeId="5097" r:id="rId30" name="Button 311">
              <controlPr defaultSize="0" print="0" autoFill="0" autoPict="0" macro="[0]!rotate_Single">
                <anchor moveWithCells="1" sizeWithCells="1">
                  <from>
                    <xdr:col>11</xdr:col>
                    <xdr:colOff>0</xdr:colOff>
                    <xdr:row>4</xdr:row>
                    <xdr:rowOff>0</xdr:rowOff>
                  </from>
                  <to>
                    <xdr:col>11</xdr:col>
                    <xdr:colOff>406400</xdr:colOff>
                    <xdr:row>5</xdr:row>
                    <xdr:rowOff>0</xdr:rowOff>
                  </to>
                </anchor>
              </controlPr>
            </control>
          </mc:Choice>
        </mc:AlternateContent>
        <mc:AlternateContent xmlns:mc="http://schemas.openxmlformats.org/markup-compatibility/2006">
          <mc:Choice Requires="x14">
            <control shapeId="5098" r:id="rId31" name="Button 312">
              <controlPr defaultSize="0" print="0" autoFill="0" autoPict="0" macro="[0]!rotate_SingleBack">
                <anchor moveWithCells="1" sizeWithCells="1">
                  <from>
                    <xdr:col>9</xdr:col>
                    <xdr:colOff>406400</xdr:colOff>
                    <xdr:row>4</xdr:row>
                    <xdr:rowOff>0</xdr:rowOff>
                  </from>
                  <to>
                    <xdr:col>10</xdr:col>
                    <xdr:colOff>0</xdr:colOff>
                    <xdr:row>5</xdr:row>
                    <xdr:rowOff>0</xdr:rowOff>
                  </to>
                </anchor>
              </controlPr>
            </control>
          </mc:Choice>
        </mc:AlternateContent>
        <mc:AlternateContent xmlns:mc="http://schemas.openxmlformats.org/markup-compatibility/2006">
          <mc:Choice Requires="x14">
            <control shapeId="5099" r:id="rId32" name="Button 313">
              <controlPr defaultSize="0" print="0" autoFill="0" autoPict="0" macro="[0]!rotate_End">
                <anchor moveWithCells="1" sizeWithCells="1">
                  <from>
                    <xdr:col>11</xdr:col>
                    <xdr:colOff>406400</xdr:colOff>
                    <xdr:row>4</xdr:row>
                    <xdr:rowOff>0</xdr:rowOff>
                  </from>
                  <to>
                    <xdr:col>12</xdr:col>
                    <xdr:colOff>0</xdr:colOff>
                    <xdr:row>5</xdr:row>
                    <xdr:rowOff>0</xdr:rowOff>
                  </to>
                </anchor>
              </controlPr>
            </control>
          </mc:Choice>
        </mc:AlternateContent>
        <mc:AlternateContent xmlns:mc="http://schemas.openxmlformats.org/markup-compatibility/2006">
          <mc:Choice Requires="x14">
            <control shapeId="5100" r:id="rId33" name="Button 314">
              <controlPr defaultSize="0" print="0" autoFill="0" autoPict="0" macro="[0]!rotate_n">
                <anchor moveWithCells="1" sizeWithCells="1">
                  <from>
                    <xdr:col>10</xdr:col>
                    <xdr:colOff>0</xdr:colOff>
                    <xdr:row>4</xdr:row>
                    <xdr:rowOff>0</xdr:rowOff>
                  </from>
                  <to>
                    <xdr:col>11</xdr:col>
                    <xdr:colOff>0</xdr:colOff>
                    <xdr:row>5</xdr:row>
                    <xdr:rowOff>0</xdr:rowOff>
                  </to>
                </anchor>
              </controlPr>
            </control>
          </mc:Choice>
        </mc:AlternateContent>
        <mc:AlternateContent xmlns:mc="http://schemas.openxmlformats.org/markup-compatibility/2006">
          <mc:Choice Requires="x14">
            <control shapeId="5101" r:id="rId34" name="Button 315">
              <controlPr defaultSize="0" print="0" autoFill="0" autoPict="0" macro="[0]!About">
                <anchor moveWithCells="1" sizeWithCells="1">
                  <from>
                    <xdr:col>11</xdr:col>
                    <xdr:colOff>0</xdr:colOff>
                    <xdr:row>1</xdr:row>
                    <xdr:rowOff>0</xdr:rowOff>
                  </from>
                  <to>
                    <xdr:col>13</xdr:col>
                    <xdr:colOff>0</xdr:colOff>
                    <xdr:row>2</xdr:row>
                    <xdr:rowOff>0</xdr:rowOff>
                  </to>
                </anchor>
              </controlPr>
            </control>
          </mc:Choice>
        </mc:AlternateContent>
        <mc:AlternateContent xmlns:mc="http://schemas.openxmlformats.org/markup-compatibility/2006">
          <mc:Choice Requires="x14">
            <control shapeId="5102" r:id="rId35" name="Button 316">
              <controlPr defaultSize="0" print="0" autoFill="0" autoPict="0" macro="[0]!ManualOnline">
                <anchor moveWithCells="1" sizeWithCells="1">
                  <from>
                    <xdr:col>14</xdr:col>
                    <xdr:colOff>0</xdr:colOff>
                    <xdr:row>1</xdr:row>
                    <xdr:rowOff>0</xdr:rowOff>
                  </from>
                  <to>
                    <xdr:col>16</xdr:col>
                    <xdr:colOff>0</xdr:colOff>
                    <xdr:row>2</xdr:row>
                    <xdr:rowOff>0</xdr:rowOff>
                  </to>
                </anchor>
              </controlPr>
            </control>
          </mc:Choice>
        </mc:AlternateContent>
        <mc:AlternateContent xmlns:mc="http://schemas.openxmlformats.org/markup-compatibility/2006">
          <mc:Choice Requires="x14">
            <control shapeId="5103" r:id="rId36" name="Button 317">
              <controlPr defaultSize="0" print="0" autoFill="0" autoPict="0" macro="[0]!Reset">
                <anchor moveWithCells="1" sizeWithCells="1">
                  <from>
                    <xdr:col>9</xdr:col>
                    <xdr:colOff>0</xdr:colOff>
                    <xdr:row>4</xdr:row>
                    <xdr:rowOff>0</xdr:rowOff>
                  </from>
                  <to>
                    <xdr:col>9</xdr:col>
                    <xdr:colOff>406400</xdr:colOff>
                    <xdr:row>5</xdr:row>
                    <xdr:rowOff>0</xdr:rowOff>
                  </to>
                </anchor>
              </controlPr>
            </control>
          </mc:Choice>
        </mc:AlternateContent>
        <mc:AlternateContent xmlns:mc="http://schemas.openxmlformats.org/markup-compatibility/2006">
          <mc:Choice Requires="x14">
            <control shapeId="5104" r:id="rId37" name="Button 318">
              <controlPr defaultSize="0" print="0" autoFill="0" autoPict="0" macro="[0]!CreateCode">
                <anchor moveWithCells="1" sizeWithCells="1">
                  <from>
                    <xdr:col>0</xdr:col>
                    <xdr:colOff>12700</xdr:colOff>
                    <xdr:row>3</xdr:row>
                    <xdr:rowOff>0</xdr:rowOff>
                  </from>
                  <to>
                    <xdr:col>1</xdr:col>
                    <xdr:colOff>12700</xdr:colOff>
                    <xdr:row>4</xdr:row>
                    <xdr:rowOff>0</xdr:rowOff>
                  </to>
                </anchor>
              </controlPr>
            </control>
          </mc:Choice>
        </mc:AlternateContent>
        <mc:AlternateContent xmlns:mc="http://schemas.openxmlformats.org/markup-compatibility/2006">
          <mc:Choice Requires="x14">
            <control shapeId="5105" r:id="rId38" name="SplitText">
              <controlPr defaultSize="0" print="0" autoFill="0" autoPict="0" macro="[0]!SplitTextInTheory">
                <anchor moveWithCells="1" sizeWithCells="1">
                  <from>
                    <xdr:col>21</xdr:col>
                    <xdr:colOff>0</xdr:colOff>
                    <xdr:row>4</xdr:row>
                    <xdr:rowOff>0</xdr:rowOff>
                  </from>
                  <to>
                    <xdr:col>25</xdr:col>
                    <xdr:colOff>0</xdr:colOff>
                    <xdr:row>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45DA7-AD94-9048-9D97-FBC72A23FB11}">
  <sheetPr codeName="Hoja3"/>
  <dimension ref="A1:AK558"/>
  <sheetViews>
    <sheetView workbookViewId="0">
      <selection activeCell="B17" sqref="B17"/>
    </sheetView>
  </sheetViews>
  <sheetFormatPr baseColWidth="10" defaultRowHeight="16" x14ac:dyDescent="0.2"/>
  <sheetData>
    <row r="1" spans="1:37" x14ac:dyDescent="0.2">
      <c r="B1" t="s">
        <v>965</v>
      </c>
      <c r="Q1" t="s">
        <v>1029</v>
      </c>
      <c r="AA1" t="s">
        <v>0</v>
      </c>
      <c r="AB1" t="str">
        <f>IF(Q2=1,AE1,IF(Q2=2,AF1,IF(Q2=3,AG1,IF(Q2=4,AH1,IF(Q2=5,AI1,IF(Q2=6,AJ1,AK1))))))</f>
        <v>HELP on a CELL: select it and press the question button. HELP on a BUTTON: select the cell under the button. To hide press the button located at F3. For quick help on a particular project, place the cursor over the HELP cell.</v>
      </c>
      <c r="AE1" t="s">
        <v>9</v>
      </c>
      <c r="AF1" t="s">
        <v>10</v>
      </c>
    </row>
    <row r="2" spans="1:37" x14ac:dyDescent="0.2">
      <c r="A2" t="s">
        <v>952</v>
      </c>
      <c r="B2" t="str">
        <f>HLOOKUP($Q$2,$E$9:$L$31,C29)</f>
        <v>Reset</v>
      </c>
      <c r="C2" s="1" t="str">
        <f>HLOOKUP($Q$2,$E$9:$L$31,C14)</f>
        <v xml:space="preserve"> New sheet </v>
      </c>
      <c r="D2" s="1" t="str">
        <f>HLOOKUP($Q$2,$E$9:$L$31,C16)</f>
        <v>Origin</v>
      </c>
      <c r="E2" s="1"/>
      <c r="F2" s="1" t="str">
        <f>HLOOKUP($Q$2,$E$9:$L$31,C21)</f>
        <v>Rotation</v>
      </c>
      <c r="G2" s="1"/>
      <c r="H2" s="1" t="str">
        <f>HLOOKUP($Q$2,$E$9:$L$31,C22)</f>
        <v>Dynamic parameters</v>
      </c>
      <c r="I2" s="1"/>
      <c r="J2" t="str">
        <f>HLOOKUP(Q2,$E$9:$L$31,C30)</f>
        <v>New Vector</v>
      </c>
      <c r="K2" t="str">
        <f>HLOOKUP($Q$2,$E$9:$L$31,C31)</f>
        <v>Clone all</v>
      </c>
      <c r="P2" t="s">
        <v>1028</v>
      </c>
      <c r="Q2">
        <v>1</v>
      </c>
      <c r="AA2" t="s">
        <v>1</v>
      </c>
      <c r="AC2" t="s">
        <v>11</v>
      </c>
    </row>
    <row r="3" spans="1:37" x14ac:dyDescent="0.2">
      <c r="B3" t="str">
        <f>HLOOKUP($Q$2,$E$9:$L$31,C11)</f>
        <v>Get code</v>
      </c>
      <c r="C3" s="1" t="str">
        <f>HLOOKUP($Q$2,$E$9:$L$31,C15)</f>
        <v xml:space="preserve"> + Vector</v>
      </c>
      <c r="D3" s="1" t="str">
        <f>HLOOKUP($Q$2,$E$9:$L$31,C17)</f>
        <v>Left:</v>
      </c>
      <c r="E3" s="1">
        <v>850</v>
      </c>
      <c r="F3" s="1"/>
      <c r="G3" s="1"/>
      <c r="H3" s="1" t="str">
        <f>HLOOKUP($Q$2,$E$9:$L$31,C23)</f>
        <v>Step:</v>
      </c>
      <c r="I3" s="1">
        <v>8</v>
      </c>
      <c r="J3" t="str">
        <f>HLOOKUP($Q$2,$E$9:$L$31,C26)</f>
        <v>Selected</v>
      </c>
      <c r="P3">
        <v>1</v>
      </c>
      <c r="Q3" t="s">
        <v>1030</v>
      </c>
      <c r="R3" t="s">
        <v>1037</v>
      </c>
      <c r="AA3" t="s">
        <v>2</v>
      </c>
      <c r="AC3">
        <f xml:space="preserve"> $A$13</f>
        <v>0</v>
      </c>
      <c r="AE3">
        <f xml:space="preserve"> $A$6</f>
        <v>0</v>
      </c>
      <c r="AF3">
        <f xml:space="preserve"> $A$7</f>
        <v>0</v>
      </c>
      <c r="AG3">
        <f xml:space="preserve"> $A$8</f>
        <v>0</v>
      </c>
      <c r="AH3">
        <f xml:space="preserve"> $A$9</f>
        <v>0</v>
      </c>
      <c r="AI3">
        <f xml:space="preserve"> $A$10</f>
        <v>0</v>
      </c>
      <c r="AJ3">
        <f xml:space="preserve"> $A$11</f>
        <v>0</v>
      </c>
      <c r="AK3">
        <f xml:space="preserve"> $A$12</f>
        <v>0</v>
      </c>
    </row>
    <row r="4" spans="1:37" x14ac:dyDescent="0.2">
      <c r="B4" t="str">
        <f>HLOOKUP($Q$2,$E$9:$L$31,C12)</f>
        <v xml:space="preserve"> +Obj</v>
      </c>
      <c r="C4" s="1"/>
      <c r="D4" s="1" t="str">
        <f>HLOOKUP($Q$2,$E$9:$L$31,C18)</f>
        <v>Up:</v>
      </c>
      <c r="E4" s="1">
        <v>400</v>
      </c>
      <c r="F4" s="1" t="s">
        <v>992</v>
      </c>
      <c r="G4" s="1">
        <v>0</v>
      </c>
      <c r="H4" s="1" t="str">
        <f>HLOOKUP($Q$2,$E$9:$L$31,C24)</f>
        <v>No. steps:</v>
      </c>
      <c r="I4" s="1">
        <v>45</v>
      </c>
      <c r="J4" t="str">
        <f>HLOOKUP($Q$2,$E$9:$L$31,C27)</f>
        <v>Set to zero</v>
      </c>
      <c r="P4">
        <v>2</v>
      </c>
      <c r="Q4" t="s">
        <v>1031</v>
      </c>
      <c r="R4" t="s">
        <v>1038</v>
      </c>
      <c r="AA4" t="s">
        <v>3</v>
      </c>
      <c r="AE4">
        <v>1</v>
      </c>
      <c r="AF4">
        <v>2</v>
      </c>
      <c r="AG4">
        <v>3</v>
      </c>
      <c r="AH4">
        <v>4</v>
      </c>
      <c r="AI4">
        <v>5</v>
      </c>
      <c r="AJ4">
        <v>6</v>
      </c>
      <c r="AK4">
        <v>7</v>
      </c>
    </row>
    <row r="5" spans="1:37" x14ac:dyDescent="0.2">
      <c r="B5" t="str">
        <f>HLOOKUP($Q$2,$E$9:$L$31,C13)</f>
        <v xml:space="preserve"> -Obj</v>
      </c>
      <c r="C5" s="1"/>
      <c r="D5" s="1" t="str">
        <f>HLOOKUP($Q$2,$E$9:$L$31,C19)</f>
        <v>Scale:</v>
      </c>
      <c r="E5" s="1">
        <v>20</v>
      </c>
      <c r="F5" s="1" t="s">
        <v>993</v>
      </c>
      <c r="G5" s="1">
        <v>15</v>
      </c>
      <c r="H5" s="1" t="str">
        <f>HLOOKUP($Q$2,$E$9:$L$31,C25)</f>
        <v>Parameter:</v>
      </c>
      <c r="I5" s="1">
        <v>0</v>
      </c>
      <c r="J5" t="str">
        <f>HLOOKUP($Q$2,$E$9:$L$31,C28)</f>
        <v>Split the text of the selected cell</v>
      </c>
      <c r="P5">
        <v>3</v>
      </c>
      <c r="Q5" t="s">
        <v>1032</v>
      </c>
      <c r="R5" t="s">
        <v>1039</v>
      </c>
      <c r="AA5" t="s">
        <v>4</v>
      </c>
      <c r="AB5" t="str">
        <f>HLOOKUP($Q$2,$AD$4:$AK$800,AD5)</f>
        <v>COLUMNS D and E are available for free use and Excel formulas for the models can be entered there.</v>
      </c>
      <c r="AD5">
        <v>2</v>
      </c>
      <c r="AE5" t="s">
        <v>823</v>
      </c>
      <c r="AF5" t="s">
        <v>805</v>
      </c>
    </row>
    <row r="6" spans="1:37" x14ac:dyDescent="0.2">
      <c r="C6" s="1"/>
      <c r="D6" s="1" t="str">
        <f>HLOOKUP($Q$2,$E$9:$L$31,C20)</f>
        <v>Axes lenght:</v>
      </c>
      <c r="E6" s="1">
        <v>200</v>
      </c>
      <c r="F6" s="1" t="s">
        <v>994</v>
      </c>
      <c r="G6" s="1">
        <v>15</v>
      </c>
      <c r="H6" s="1"/>
      <c r="I6" s="1"/>
      <c r="P6">
        <v>4</v>
      </c>
      <c r="Q6" t="s">
        <v>1033</v>
      </c>
      <c r="R6" t="s">
        <v>1040</v>
      </c>
      <c r="AA6" t="s">
        <v>5</v>
      </c>
      <c r="AB6" t="str">
        <f>HLOOKUP($Q$2,$AD$4:$AK$800,AD6)</f>
        <v>COLUMNS F and G are available for free use and can be used for the user to enter initial parameters. Column G has conditional formatting that when data is entered, its background color changes.</v>
      </c>
      <c r="AD6">
        <v>3</v>
      </c>
      <c r="AE6" t="s">
        <v>824</v>
      </c>
      <c r="AF6" t="s">
        <v>806</v>
      </c>
    </row>
    <row r="7" spans="1:37" x14ac:dyDescent="0.2">
      <c r="P7">
        <v>5</v>
      </c>
      <c r="Q7" t="s">
        <v>1034</v>
      </c>
      <c r="R7" t="s">
        <v>1041</v>
      </c>
      <c r="AA7" t="s">
        <v>6</v>
      </c>
      <c r="AB7" t="str">
        <f>HLOOKUP($Q$2,$AD$4:$AK$800,AD7)</f>
        <v>ZONE 3: COLUMNS FROM H TO U and row 5 down. This zone is dedicated to the coordinate system. All objects that are configured in columns A, B and C will appear in the coordinate system.system in this area, in this area you can also locate equations edited in the equation editor and saved in the 3DModels sheet, to do this write the equation number in parentheses in the format (Eq-3-1) , where the expression  (Eq- at the beginning is required, followed by any numerical value or letter. To view the equation, you need to press the corresponding button. The buttons for the equations for a new project will appear after exporting the code and entering it into ScienSolar.</v>
      </c>
      <c r="AD7">
        <v>4</v>
      </c>
      <c r="AE7" t="s">
        <v>825</v>
      </c>
      <c r="AF7" t="s">
        <v>807</v>
      </c>
    </row>
    <row r="8" spans="1:37" x14ac:dyDescent="0.2">
      <c r="E8" t="str">
        <f>$Q$3</f>
        <v>English</v>
      </c>
      <c r="F8" t="str">
        <f>$Q$4</f>
        <v>Spanish</v>
      </c>
      <c r="G8" t="str">
        <f>$Q$5</f>
        <v>Russian</v>
      </c>
      <c r="H8" t="str">
        <f>$Q$6</f>
        <v>Chinese</v>
      </c>
      <c r="I8" t="str">
        <f>$Q$7</f>
        <v>Italian</v>
      </c>
      <c r="J8" t="str">
        <f>$Q$8</f>
        <v>French</v>
      </c>
      <c r="K8" t="str">
        <f>$Q$9</f>
        <v>A</v>
      </c>
      <c r="P8">
        <v>6</v>
      </c>
      <c r="Q8" t="s">
        <v>1035</v>
      </c>
      <c r="R8" t="s">
        <v>1042</v>
      </c>
      <c r="AA8" t="s">
        <v>7</v>
      </c>
      <c r="AB8" t="str">
        <f>HLOOKUP($Q$2,$AD$4:$AK$800,AD8)</f>
        <v>ZONE 4. COLUMNS FROM V TO AC. This area is free and can be dedicated to writing the theory about the model or instructions for its execution. In it you can write text directly in the cells. of the blank area, The information entered in these columns will be saved in the code of each project.</v>
      </c>
      <c r="AD8">
        <v>5</v>
      </c>
      <c r="AE8" t="s">
        <v>826</v>
      </c>
      <c r="AF8" t="s">
        <v>808</v>
      </c>
    </row>
    <row r="9" spans="1:37" x14ac:dyDescent="0.2">
      <c r="E9">
        <v>1</v>
      </c>
      <c r="F9">
        <v>2</v>
      </c>
      <c r="G9">
        <v>3</v>
      </c>
      <c r="H9">
        <v>4</v>
      </c>
      <c r="I9">
        <v>5</v>
      </c>
      <c r="J9">
        <v>6</v>
      </c>
      <c r="K9">
        <v>7</v>
      </c>
      <c r="P9">
        <v>7</v>
      </c>
      <c r="Q9" t="s">
        <v>1036</v>
      </c>
      <c r="R9" t="s">
        <v>1036</v>
      </c>
      <c r="AA9" t="s">
        <v>8</v>
      </c>
      <c r="AB9" t="str">
        <f>HLOOKUP($Q$2,$AD$4:$AK$800,AD9)</f>
        <v>ZONE 5: This zone includes the columns after column AD and are available for the user to perform calculations and place temporary formulas. However, the project code will not export the data or formulas entered in this area, after pressing the code button.</v>
      </c>
      <c r="AD9">
        <v>6</v>
      </c>
      <c r="AE9" t="s">
        <v>827</v>
      </c>
      <c r="AF9" t="s">
        <v>809</v>
      </c>
    </row>
    <row r="10" spans="1:37" x14ac:dyDescent="0.2">
      <c r="C10" t="s">
        <v>967</v>
      </c>
      <c r="D10" t="s">
        <v>969</v>
      </c>
      <c r="E10">
        <v>0</v>
      </c>
      <c r="F10">
        <v>1</v>
      </c>
      <c r="G10">
        <v>0</v>
      </c>
      <c r="H10">
        <v>0</v>
      </c>
      <c r="I10">
        <v>0</v>
      </c>
      <c r="J10">
        <v>0</v>
      </c>
      <c r="K10">
        <v>0</v>
      </c>
      <c r="AA10" t="s">
        <v>12</v>
      </c>
      <c r="AB10" t="str">
        <f>HLOOKUP($Q$2,$AD$4:$AK$800,AD10)</f>
        <v>Free cell.</v>
      </c>
      <c r="AD10">
        <v>7</v>
      </c>
      <c r="AE10" t="s">
        <v>332</v>
      </c>
      <c r="AF10" t="s">
        <v>810</v>
      </c>
    </row>
    <row r="11" spans="1:37" x14ac:dyDescent="0.2">
      <c r="C11">
        <v>3</v>
      </c>
      <c r="D11" t="s">
        <v>970</v>
      </c>
      <c r="E11" t="s">
        <v>971</v>
      </c>
      <c r="F11" t="s">
        <v>995</v>
      </c>
      <c r="AA11" t="s">
        <v>15</v>
      </c>
      <c r="AB11" t="str">
        <f>HLOOKUP($Q$2,$AD$4:$AK$800,AD11)</f>
        <v>ScienSolar uses this cell to initialize the program; do not delete or modify the contents of this cell.</v>
      </c>
      <c r="AD11">
        <v>8</v>
      </c>
      <c r="AE11" t="s">
        <v>828</v>
      </c>
      <c r="AF11" t="s">
        <v>811</v>
      </c>
    </row>
    <row r="12" spans="1:37" x14ac:dyDescent="0.2">
      <c r="C12">
        <v>4</v>
      </c>
      <c r="E12" t="s">
        <v>972</v>
      </c>
      <c r="F12" t="s">
        <v>972</v>
      </c>
      <c r="AA12" t="s">
        <v>18</v>
      </c>
      <c r="AB12" t="str">
        <f>HLOOKUP($Q$2,$AD$4:$AK$800,AD12)</f>
        <v>Free cell.</v>
      </c>
      <c r="AD12">
        <v>9</v>
      </c>
      <c r="AE12" t="s">
        <v>332</v>
      </c>
      <c r="AF12" t="s">
        <v>810</v>
      </c>
    </row>
    <row r="13" spans="1:37" x14ac:dyDescent="0.2">
      <c r="C13">
        <v>5</v>
      </c>
      <c r="E13" t="s">
        <v>973</v>
      </c>
      <c r="F13" t="s">
        <v>973</v>
      </c>
      <c r="AA13" t="s">
        <v>21</v>
      </c>
      <c r="AB13" t="str">
        <f>HLOOKUP($Q$2,$AD$4:$AK$800,AD13)</f>
        <v>Get Code Button. This button is intended to export new or modified projects in the form of VBA code in a text file that is saved in the same folder in which the ScienSolar file is located. Read the instructions in the header of the exported file to find out how the project is integrated into the project list. When you press the button, it will ask you for the name of the text file that will be saved. As long as the code of a project is not copied in the VBA editor, this will not appear or be modified in ScienSolar. The cell is also used by the program and contains the number of the project that is selected in the project list.Note: Keep in mind that when exporting the code, some special characters (such as accent marks or symbols) may not work correctly in some operating systems. It is recommended when exporting not to include special characters in the file name.</v>
      </c>
      <c r="AD13">
        <v>10</v>
      </c>
      <c r="AE13" t="s">
        <v>829</v>
      </c>
      <c r="AF13" t="s">
        <v>812</v>
      </c>
    </row>
    <row r="14" spans="1:37" x14ac:dyDescent="0.2">
      <c r="C14">
        <v>6</v>
      </c>
      <c r="E14" t="s">
        <v>974</v>
      </c>
      <c r="F14" t="s">
        <v>996</v>
      </c>
      <c r="AA14" t="s">
        <v>24</v>
      </c>
      <c r="AB14" t="str">
        <f>HLOOKUP($Q$2,$AD$4:$AK$800,AD14)</f>
        <v>This cell is occupied and is used to indicate the number of vectors or objects that are in the coordinate system. This number is used by the code to display/collect the settings menu.</v>
      </c>
      <c r="AD14">
        <v>11</v>
      </c>
      <c r="AE14" t="s">
        <v>830</v>
      </c>
      <c r="AF14" t="s">
        <v>813</v>
      </c>
    </row>
    <row r="15" spans="1:37" x14ac:dyDescent="0.2">
      <c r="C15">
        <v>7</v>
      </c>
      <c r="E15" t="s">
        <v>975</v>
      </c>
      <c r="F15" t="s">
        <v>975</v>
      </c>
      <c r="N15" t="s">
        <v>969</v>
      </c>
      <c r="AA15" t="s">
        <v>27</v>
      </c>
      <c r="AB15" t="str">
        <f>HLOOKUP($Q$2,$AD$4:$AK$800,AD15)</f>
        <v>When a vector or object is loaded into the coordinate system, this cell indicates the number of the consecutive vector.BUTTON ON THE LEFT: is used to enable/disable the vector thickness and its history.BUTTON ON THE RIGHT is used to compress or expand the configuration cells of each vector.The first vector button will display or compress the settings for all vectors.BUTTON ON THE RIGHT WHEN THERE IS DATA is used to clean the data table.PROPERTIES: The value 0 in this cell does not put the vector in the coordinate system, although it does take into account the parameters and formulas found in its configuration, which is useful in some cases,for example when you do not want to display the vector or when the number of vectors is large and you want to reduce the execution time. The numbers in these cells must be consecutively ascending and must not be repeated.</v>
      </c>
      <c r="AD15">
        <v>12</v>
      </c>
      <c r="AE15" t="s">
        <v>831</v>
      </c>
      <c r="AF15" t="s">
        <v>814</v>
      </c>
    </row>
    <row r="16" spans="1:37" x14ac:dyDescent="0.2">
      <c r="C16">
        <v>8</v>
      </c>
      <c r="E16" t="s">
        <v>976</v>
      </c>
      <c r="F16" t="s">
        <v>997</v>
      </c>
      <c r="N16" t="s">
        <v>970</v>
      </c>
      <c r="AA16" t="s">
        <v>30</v>
      </c>
      <c r="AB16" t="str">
        <f>HLOOKUP($Q$2,$AD$4:$AK$800,AD16)</f>
        <v>This cell is used by ScienSolar to indicate whether the vector configuration is unfolded or folded. A value of 0 indicates folded and a value of 1 displays. Do not modify the value of this cell.</v>
      </c>
      <c r="AD16">
        <v>13</v>
      </c>
      <c r="AE16" t="s">
        <v>832</v>
      </c>
      <c r="AF16" t="s">
        <v>815</v>
      </c>
    </row>
    <row r="17" spans="1:32" x14ac:dyDescent="0.2">
      <c r="C17">
        <v>9</v>
      </c>
      <c r="E17" t="s">
        <v>977</v>
      </c>
      <c r="F17" t="s">
        <v>998</v>
      </c>
      <c r="AA17" t="s">
        <v>33</v>
      </c>
      <c r="AB17" t="str">
        <f>HLOOKUP($Q$2,$AD$4:$AK$800,AD17)</f>
        <v>The value indicated here represents the number of objects (vectors) cloned for the given vector. When the option of this vector is FIELD MODE the number is greater than 1, otherwise it is equal to 1. PROPERTIES: When you are working in field mode and the number of objects loaded on the sheet is very large, to delete them immediately, place a number greater than 5000 in this cell and press an update button. Otherwise, do not modify this cell.</v>
      </c>
      <c r="AD17">
        <v>14</v>
      </c>
      <c r="AE17" t="s">
        <v>833</v>
      </c>
      <c r="AF17" t="s">
        <v>816</v>
      </c>
    </row>
    <row r="18" spans="1:32" x14ac:dyDescent="0.2">
      <c r="C18">
        <v>10</v>
      </c>
      <c r="E18" t="s">
        <v>978</v>
      </c>
      <c r="F18" t="s">
        <v>999</v>
      </c>
      <c r="N18" t="s">
        <v>1014</v>
      </c>
      <c r="AA18" t="s">
        <v>36</v>
      </c>
      <c r="AB18" t="str">
        <f>HLOOKUP($Q$2,$AD$4:$AK$800,AD18)</f>
        <v>This cell is free when the vector (183) is used. PROPERTIES: When a 3D object is loaded (200) this cell is used to enter the rotation angle of the object. As an example see vector number 2 of the 3D Model project (press Run on that project).</v>
      </c>
      <c r="AD18">
        <v>15</v>
      </c>
      <c r="AE18" t="s">
        <v>834</v>
      </c>
      <c r="AF18" t="s">
        <v>817</v>
      </c>
    </row>
    <row r="19" spans="1:32" x14ac:dyDescent="0.2">
      <c r="C19">
        <v>11</v>
      </c>
      <c r="E19" t="s">
        <v>979</v>
      </c>
      <c r="F19" t="s">
        <v>1000</v>
      </c>
      <c r="AA19" t="s">
        <v>39</v>
      </c>
      <c r="AB19" t="str">
        <f>HLOOKUP($Q$2,$AD$4:$AK$800,AD19)</f>
        <v xml:space="preserve">This cell indicates the initial position on the X axis of the current vector. When working in FIELD mode, the code automatically deletes the data in this cell and replaces it with =A11, since in A11 all the initial values of the X coordinates of the field vectors given for a range in the X coordinate will be traversed (in field mode). In this cell the user can enter constant values as well as functions.To see how it works, in a new ScienSolar sheet add a new vector and put in A12 = 4, B12 = 3, C12 = 0. Press XYZ, Put in other values and observe the changes in the coordinate system. </v>
      </c>
      <c r="AD19">
        <v>16</v>
      </c>
      <c r="AE19" t="s">
        <v>835</v>
      </c>
      <c r="AF19" t="s">
        <v>818</v>
      </c>
    </row>
    <row r="20" spans="1:32" x14ac:dyDescent="0.2">
      <c r="C20">
        <v>12</v>
      </c>
      <c r="E20" t="s">
        <v>980</v>
      </c>
      <c r="F20" t="s">
        <v>1001</v>
      </c>
      <c r="N20" t="s">
        <v>1015</v>
      </c>
      <c r="AA20" t="s">
        <v>42</v>
      </c>
      <c r="AB20" t="str">
        <f>HLOOKUP($Q$2,$AD$4:$AK$800,AD20)</f>
        <v>This cell is used by the code when working in FIELD MODE to cycle through all the coordinate values as variables. In other words, this cell is equivalent to the variable X when working with a function f(x). As an example of using this cell, see the ELECTRIC DIPOLE, CYLINDRICAL SYMMETRY and SPHERICAL SYMMETRY projects. For scalar fields, see the FUNCTIONS project.</v>
      </c>
      <c r="AD20">
        <v>17</v>
      </c>
      <c r="AE20" t="s">
        <v>836</v>
      </c>
      <c r="AF20" t="s">
        <v>819</v>
      </c>
    </row>
    <row r="21" spans="1:32" x14ac:dyDescent="0.2">
      <c r="C21">
        <v>13</v>
      </c>
      <c r="E21" t="s">
        <v>981</v>
      </c>
      <c r="F21" t="s">
        <v>1002</v>
      </c>
      <c r="N21" t="s">
        <v>1016</v>
      </c>
      <c r="AA21" t="s">
        <v>45</v>
      </c>
      <c r="AB21" t="str">
        <f>HLOOKUP($Q$2,$AD$4:$AK$800,AD21)</f>
        <v>In this cell the value of the coordinate on the X axis of the vector is entered. When working in FIELD MODE, the function corresponding to the X axis of the vector field is entered here. As an example of use of this cell see the ELECTRICAL DIPOLE, CYLINDRICAL SYMMETRY and SPHERICAL SYMMETRY projects. For scalar fields see the FUNCTIONS project.</v>
      </c>
      <c r="AD21">
        <v>18</v>
      </c>
      <c r="AE21" t="s">
        <v>837</v>
      </c>
      <c r="AF21" t="s">
        <v>820</v>
      </c>
    </row>
    <row r="22" spans="1:32" x14ac:dyDescent="0.2">
      <c r="C22">
        <v>14</v>
      </c>
      <c r="E22" t="s">
        <v>982</v>
      </c>
      <c r="F22" t="s">
        <v>1003</v>
      </c>
      <c r="N22" t="s">
        <v>1017</v>
      </c>
      <c r="AA22" t="s">
        <v>48</v>
      </c>
      <c r="AB22" t="str">
        <f>HLOOKUP($Q$2,$AD$4:$AK$800,AD22)</f>
        <v>Vector tail. When using a conventional vector (183), the shape of the vector tail can be changed. Some shapes other than 183 can also obey this cell. The Allowed values are 1 to 6. Functions can also be introduced that change this value automatically.</v>
      </c>
      <c r="AD22">
        <v>19</v>
      </c>
      <c r="AE22" t="s">
        <v>838</v>
      </c>
      <c r="AF22" t="s">
        <v>821</v>
      </c>
    </row>
    <row r="23" spans="1:32" x14ac:dyDescent="0.2">
      <c r="C23">
        <v>15</v>
      </c>
      <c r="E23" t="s">
        <v>983</v>
      </c>
      <c r="F23" t="s">
        <v>1004</v>
      </c>
      <c r="N23" t="s">
        <v>1018</v>
      </c>
      <c r="AA23" t="s">
        <v>51</v>
      </c>
      <c r="AB23" t="str">
        <f>HLOOKUP($Q$2,$AD$4:$AK$800,AD23)</f>
        <v>Vector head. When using a conventional vector (183), the shape of the vector head can be changed. Some shapes other than 183 can also obey this cell. The Allowed values are 1 to 6. Formulas can also be entered that change this value automatically.</v>
      </c>
      <c r="AD23">
        <v>20</v>
      </c>
      <c r="AE23" t="s">
        <v>839</v>
      </c>
      <c r="AF23" t="s">
        <v>822</v>
      </c>
    </row>
    <row r="24" spans="1:32" x14ac:dyDescent="0.2">
      <c r="C24">
        <v>16</v>
      </c>
      <c r="E24" t="s">
        <v>984</v>
      </c>
      <c r="F24" t="s">
        <v>1005</v>
      </c>
      <c r="N24" t="s">
        <v>1019</v>
      </c>
      <c r="AA24" t="s">
        <v>54</v>
      </c>
      <c r="AB24" t="str">
        <f>HLOOKUP($Q$2,$AD$4:$AK$800,AD24)</f>
        <v>When a vector or object is loaded into the coordinate system, this cell indicates the number of the consecutive vector.BUTTON ON THE LEFT: is used to enable/disable the vector thickness and its history.BUTTON ON THE RIGHT is used to compress or expand the configuration cells of each vector.The first vector button will display or compress the settings for all vectors.BUTTON ON THE RIGHT WHEN THERE IS DATA is used to clean the data table.PROPERTIES: The value 0 in this cell does not put the vector in the coordinate system, although it does take into account the parameters and formulas found in its configuration, which is useful in some cases,for example when you do not want to display the vector or when the number of vectors is large and you want to reduce the execution time. The numbers in these cells must be consecutively ascending and must not be repeated.</v>
      </c>
      <c r="AD24">
        <v>21</v>
      </c>
      <c r="AE24" t="str">
        <f>$AE$15</f>
        <v>When a vector or object is loaded into the coordinate system, this cell indicates the number of the consecutive vector.BUTTON ON THE LEFT: is used to enable/disable the vector thickness and its history.BUTTON ON THE RIGHT is used to compress or expand the configuration cells of each vector.The first vector button will display or compress the settings for all vectors.BUTTON ON THE RIGHT WHEN THERE IS DATA is used to clean the data table.PROPERTIES: The value 0 in this cell does not put the vector in the coordinate system, although it does take into account the parameters and formulas found in its configuration, which is useful in some cases,for example when you do not want to display the vector or when the number of vectors is large and you want to reduce the execution time. The numbers in these cells must be consecutively ascending and must not be repeated.</v>
      </c>
      <c r="AF24" t="str">
        <f>$AF$15</f>
        <v>Cuando se carga un vector o un objeto al sistema de coordenadas, esta celda indica el número del vector consecutivo. BOTÓN DE LA IZQUIERDA: se utiliza para activar/desactivar el grosor del vector y su historia. BOTÓN DE LA DERECHA: se utiliza para comprimir o desplegar las celdas de configuración de cada vector. El botón del primer vector desplegará o comprimirá la configuración de todos los vectores.BOTÓN DE LA DERECHA  cuando hay DATOS: se utiliza para borrar la tabla de datos. PROPIEDADES: El valor 0 en esta celda no pone el vector en el sistema de coordenadas, aunque sí tiene en cuenta los parámetros y fórmulas que se encuentran en su configuración, lo cual tiene utilidad en algunos casos,por ejemplo cuando no se quiere visualizar el vector o cuando la cantidad de vectores es grande y se desea reducir el tiempode ejecución. Los números en estas celdas deben ser consecutivos ascendentes y no se deben repetir.</v>
      </c>
    </row>
    <row r="25" spans="1:32" x14ac:dyDescent="0.2">
      <c r="C25">
        <v>17</v>
      </c>
      <c r="E25" t="s">
        <v>985</v>
      </c>
      <c r="F25" t="s">
        <v>1006</v>
      </c>
      <c r="N25" t="s">
        <v>1020</v>
      </c>
      <c r="AA25" t="s">
        <v>57</v>
      </c>
      <c r="AB25" t="str">
        <f>HLOOKUP($Q$2,$AD$4:$AK$800,AD25)</f>
        <v>This cell is used by ScienSolar to indicate whether the vector configuration is unfolded or folded. A value of 0 indicates folded and a value of 1 displays. Do not modify the value of this cell.</v>
      </c>
      <c r="AD25">
        <v>22</v>
      </c>
      <c r="AE25" t="str">
        <f>$AE$16</f>
        <v>This cell is used by ScienSolar to indicate whether the vector configuration is unfolded or folded. A value of 0 indicates folded and a value of 1 displays. Do not modify the value of this cell.</v>
      </c>
      <c r="AF25" t="str">
        <f>$AF$16</f>
        <v xml:space="preserve">Celda utilizada por ScienSolar para indicar si la configuración del vector está desplegada o plegada. El valor 0 indica plegada y el valor 1 desplegada. No modifique el valor de esta celda. </v>
      </c>
    </row>
    <row r="26" spans="1:32" x14ac:dyDescent="0.2">
      <c r="C26">
        <v>18</v>
      </c>
      <c r="E26" t="s">
        <v>986</v>
      </c>
      <c r="F26" t="s">
        <v>1007</v>
      </c>
      <c r="AA26" t="s">
        <v>60</v>
      </c>
      <c r="AB26" t="str">
        <f>HLOOKUP($Q$2,$AD$4:$AK$800,AD26)</f>
        <v>The value indicated here represents the number of objects (vectors) cloned for the given vector. When the option of this vector is FIELD MODE the number is greater than 1, otherwise it is equal to 1. PROPERTIES: When you are working in field mode and the number of objects loaded on the sheet is very large, to delete them immediately, place a number greater than 5000 in this cell and press an update button. Otherwise, do not modify this cell.</v>
      </c>
      <c r="AD26">
        <v>23</v>
      </c>
      <c r="AE26" t="str">
        <f>$AE$17</f>
        <v>The value indicated here represents the number of objects (vectors) cloned for the given vector. When the option of this vector is FIELD MODE the number is greater than 1, otherwise it is equal to 1. PROPERTIES: When you are working in field mode and the number of objects loaded on the sheet is very large, to delete them immediately, place a number greater than 5000 in this cell and press an update button. Otherwise, do not modify this cell.</v>
      </c>
      <c r="AF26" t="str">
        <f>$AF$17</f>
        <v>El valor indicado aquí representa el número de objetos (vectores) clonados para el vector dado. Cuando la opción de este vector es MODO CAMPO el número es mayor que 1, de lo contrario es igual a 1. PROPIEDADES: Cuando se está trabajando en modo campo y la cantidad de objetos cargados a la hoja es muy grande, para borrarlos inmediatamente se coloca en esta celda un número mayor a 5000 y se oprime un botón de actualización. De otra manera no modifique esta celda.</v>
      </c>
    </row>
    <row r="27" spans="1:32" x14ac:dyDescent="0.2">
      <c r="C27">
        <v>19</v>
      </c>
      <c r="E27" t="s">
        <v>987</v>
      </c>
      <c r="F27" t="s">
        <v>1008</v>
      </c>
      <c r="AA27" t="s">
        <v>63</v>
      </c>
      <c r="AB27" t="str">
        <f>HLOOKUP($Q$2,$AD$4:$AK$800,AD27)</f>
        <v>This cell is free when the vector (183) is used. PROPERTIES: When a 3D object is loaded (200) this cell is used to enter the rotation angle of the object. As an example see vector number 2 of the 3D Model project (press Run on that project).</v>
      </c>
      <c r="AD27">
        <v>24</v>
      </c>
      <c r="AE27" t="str">
        <f>$AE$18</f>
        <v>This cell is free when the vector (183) is used. PROPERTIES: When a 3D object is loaded (200) this cell is used to enter the rotation angle of the object. As an example see vector number 2 of the 3D Model project (press Run on that project).</v>
      </c>
      <c r="AF27" t="str">
        <f>$AF$18</f>
        <v>Celda libre cuando se usa el vector (183). PROPIEDADES: Cuando se carga un objeto 3D (200) esta celda se usa para introducir el ángulo de rotación del objeto. Como ejemplo ver el vector número 2 del proyecto Modelo 3D (oprimir Ejecutar en ese proyecto).</v>
      </c>
    </row>
    <row r="28" spans="1:32" x14ac:dyDescent="0.2">
      <c r="C28">
        <v>20</v>
      </c>
      <c r="E28" t="s">
        <v>988</v>
      </c>
      <c r="F28" t="s">
        <v>1009</v>
      </c>
      <c r="N28" t="s">
        <v>1021</v>
      </c>
      <c r="AA28" t="s">
        <v>66</v>
      </c>
      <c r="AB28" t="str">
        <f>HLOOKUP($Q$2,$AD$4:$AK$800,AD28)</f>
        <v xml:space="preserve">This cell indicates the initial position on the X axis of the current vector. When working in FIELD mode, the code automatically deletes the data in this cell and replaces it with =A11, since in A11 all the initial values of the X coordinates of the field vectors given for a range in the X coordinate will be traversed (in field mode). In this cell the user can enter constant values as well as functions.To see how it works, in a new ScienSolar sheet add a new vector and put in A12 = 4, B12 = 3, C12 = 0. Press XYZ, Put in other values and observe the changes in the coordinate system. </v>
      </c>
      <c r="AD28">
        <v>25</v>
      </c>
      <c r="AE28" t="str">
        <f>$AE$19</f>
        <v xml:space="preserve">This cell indicates the initial position on the X axis of the current vector. When working in FIELD mode, the code automatically deletes the data in this cell and replaces it with =A11, since in A11 all the initial values of the X coordinates of the field vectors given for a range in the X coordinate will be traversed (in field mode). In this cell the user can enter constant values as well as functions.To see how it works, in a new ScienSolar sheet add a new vector and put in A12 = 4, B12 = 3, C12 = 0. Press XYZ, Put in other values and observe the changes in the coordinate system. </v>
      </c>
      <c r="AF28" t="str">
        <f>$AF$19</f>
        <v xml:space="preserve">Esta celda indica la posición inicial en el eje X del vector actual. Cuando se trabaja en modo CAMPO, el código automáticamente borra los datos de esta celda y los reemplaza por =A11, puesto que en A11 se recorrerán (en modo campo) todos los valores iniciales de las coordenadas en X de los vectores del campo. dados para un rango en la coordenada X. En esta celda el usuario puede introducir valores constantes así como funciones.Para ver como funciona, en una nueva hoja de ScienSolar agregue un nuevo vector y en A12 = 4, B12= 3, C12 = 0. Oprima XYZ, Ponga otros valores y observe los cambios en el sistema de coordenadas. </v>
      </c>
    </row>
    <row r="29" spans="1:32" x14ac:dyDescent="0.2">
      <c r="C29">
        <v>21</v>
      </c>
      <c r="E29" t="s">
        <v>962</v>
      </c>
      <c r="F29" t="s">
        <v>1010</v>
      </c>
      <c r="G29" t="s">
        <v>962</v>
      </c>
      <c r="H29" t="s">
        <v>962</v>
      </c>
      <c r="I29" t="s">
        <v>962</v>
      </c>
      <c r="J29" t="s">
        <v>962</v>
      </c>
      <c r="K29" t="s">
        <v>962</v>
      </c>
      <c r="AA29" t="s">
        <v>69</v>
      </c>
      <c r="AB29" t="str">
        <f>HLOOKUP($Q$2,$AD$4:$AK$800,AD29)</f>
        <v>This cell is used by the code when working in FIELD MODE to cycle through all the coordinate values as variables. In other words, this cell is equivalent to the variable X when working with a function f(x). As an example of using this cell, see the ELECTRIC DIPOLE, CYLINDRICAL SYMMETRY and SPHERICAL SYMMETRY projects. For scalar fields, see the FUNCTIONS project.</v>
      </c>
      <c r="AD29">
        <v>26</v>
      </c>
      <c r="AE29" t="str">
        <f>$AE$20</f>
        <v>This cell is used by the code when working in FIELD MODE to cycle through all the coordinate values as variables. In other words, this cell is equivalent to the variable X when working with a function f(x). As an example of using this cell, see the ELECTRIC DIPOLE, CYLINDRICAL SYMMETRY and SPHERICAL SYMMETRY projects. For scalar fields, see the FUNCTIONS project.</v>
      </c>
      <c r="AF29" t="str">
        <f>$AF$20</f>
        <v>Esta celda es usada por el código cuando se trabaja en MODO CAMPO para recorrer todos los valores de las coordenadas como variables. Dicho de otra manera, esta celda equivale a la variable X cuando se trabaja con una función f(x). Como ejemplo de uso de esta celda ver los proyectos DIPOLO ELÉCTRICO, SIMETRÍA CILÍNDRICA y SIMETRÍA ESFÉRICA. Para campos escalares ver el proyecto FUNCIONES.</v>
      </c>
    </row>
    <row r="30" spans="1:32" x14ac:dyDescent="0.2">
      <c r="C30">
        <v>22</v>
      </c>
      <c r="E30" t="s">
        <v>989</v>
      </c>
      <c r="F30" t="s">
        <v>1011</v>
      </c>
      <c r="N30" t="s">
        <v>1022</v>
      </c>
      <c r="AA30" t="s">
        <v>72</v>
      </c>
      <c r="AB30" t="str">
        <f>HLOOKUP($Q$2,$AD$4:$AK$800,AD30)</f>
        <v>In this cell the value of the coordinate on the X axis of the vector is entered. When working in FIELD MODE, the function corresponding to the X axis of the vector field is entered here. As an example of use of this cell see the ELECTRICAL DIPOLE, CYLINDRICAL SYMMETRY and SPHERICAL SYMMETRY projects. For scalar fields see the FUNCTIONS project.</v>
      </c>
      <c r="AD30">
        <v>27</v>
      </c>
      <c r="AE30" t="str">
        <f>$AE$21</f>
        <v>In this cell the value of the coordinate on the X axis of the vector is entered. When working in FIELD MODE, the function corresponding to the X axis of the vector field is entered here. As an example of use of this cell see the ELECTRICAL DIPOLE, CYLINDRICAL SYMMETRY and SPHERICAL SYMMETRY projects. For scalar fields see the FUNCTIONS project.</v>
      </c>
      <c r="AF30" t="str">
        <f>$AF$21</f>
        <v>En esta celda se introduce el valor de la coordenada en el eje X del vector. Cuando se trabaja en MODO CAMPO, se introduce aquí la función correspondiente al eje X del campo vectorial. Como ejemplo de uso de esta celda ver los proyectos DIPOLO ELÉCTRICO, SIMETRÍA CILÍNDRICA y SIMETRÍA ESFÉRICA. Para campos escalares ver el proyecto FUNCIONES.</v>
      </c>
    </row>
    <row r="31" spans="1:32" x14ac:dyDescent="0.2">
      <c r="A31" t="s">
        <v>953</v>
      </c>
      <c r="C31">
        <v>23</v>
      </c>
      <c r="E31" t="s">
        <v>990</v>
      </c>
      <c r="F31" t="s">
        <v>1012</v>
      </c>
      <c r="N31" t="s">
        <v>1023</v>
      </c>
      <c r="AA31" t="s">
        <v>75</v>
      </c>
      <c r="AB31" t="str">
        <f>HLOOKUP($Q$2,$AD$4:$AK$800,AD31)</f>
        <v>Vector tail. When using a conventional vector (183), the shape of the vector tail can be changed. Some shapes other than 183 can also obey this cell. The Allowed values are 1 to 6. Functions can also be introduced that change this value automatically.</v>
      </c>
      <c r="AD31">
        <v>28</v>
      </c>
      <c r="AE31" t="str">
        <f>$AE$22</f>
        <v>Vector tail. When using a conventional vector (183), the shape of the vector tail can be changed. Some shapes other than 183 can also obey this cell. The Allowed values are 1 to 6. Functions can also be introduced that change this value automatically.</v>
      </c>
      <c r="AF31" t="str">
        <f>$AF$22</f>
        <v>Cola del vector. Cuando se utiliza un vector convencional (183), se puede cambiar la forma de la cola del vector. Algunas otras formas diferentes a la 183 también pueden obedecer a esta celda. Los valores permitidos son del 1 al 6. También pueden introducirse funciones que cambien este valor automáticamente.</v>
      </c>
    </row>
    <row r="32" spans="1:32" x14ac:dyDescent="0.2">
      <c r="A32" t="s">
        <v>954</v>
      </c>
      <c r="B32" t="s">
        <v>966</v>
      </c>
      <c r="C32" t="s">
        <v>968</v>
      </c>
      <c r="E32" t="str">
        <f>$Q$3</f>
        <v>English</v>
      </c>
      <c r="F32" t="str">
        <f>$Q$4</f>
        <v>Spanish</v>
      </c>
      <c r="G32" t="str">
        <f>$Q$5</f>
        <v>Russian</v>
      </c>
      <c r="H32" t="str">
        <f>$Q$6</f>
        <v>Chinese</v>
      </c>
      <c r="I32" t="str">
        <f>$Q$7</f>
        <v>Italian</v>
      </c>
      <c r="J32" t="str">
        <f>$Q$8</f>
        <v>French</v>
      </c>
      <c r="K32" t="str">
        <f>$Q$9</f>
        <v>A</v>
      </c>
      <c r="N32" t="s">
        <v>1024</v>
      </c>
      <c r="AA32" t="s">
        <v>78</v>
      </c>
      <c r="AB32" t="str">
        <f>HLOOKUP($Q$2,$AD$4:$AK$800,AD32)</f>
        <v>Vector head. When using a conventional vector (183), the shape of the vector head can be changed. Some shapes other than 183 can also obey this cell. The Allowed values are 1 to 6. Formulas can also be entered that change this value automatically.</v>
      </c>
      <c r="AD32">
        <v>29</v>
      </c>
      <c r="AE32" t="str">
        <f>$AE$23</f>
        <v>Vector head. When using a conventional vector (183), the shape of the vector head can be changed. Some shapes other than 183 can also obey this cell. The Allowed values are 1 to 6. Formulas can also be entered that change this value automatically.</v>
      </c>
      <c r="AF32" t="str">
        <f>$AF$23</f>
        <v>Cabeza del vector. Cuando se utiliza un vector convencional (183), se puede cambiar la forma de la cabeza del vector. Algunas otras formas diferentes a la 183 también pueden obedecer a esta celda. Los valores permitidos son del 1 al 6. También pueden introducirse funciones que cambien este valor automáticamente.</v>
      </c>
    </row>
    <row r="33" spans="1:32" x14ac:dyDescent="0.2">
      <c r="A33">
        <v>0</v>
      </c>
      <c r="B33">
        <f>HLOOKUP($Q$2,$E$33:$K$150,C33)</f>
        <v>1</v>
      </c>
      <c r="C33">
        <v>1</v>
      </c>
      <c r="E33">
        <v>1</v>
      </c>
      <c r="F33">
        <v>2</v>
      </c>
      <c r="G33">
        <v>3</v>
      </c>
      <c r="H33">
        <v>4</v>
      </c>
      <c r="I33">
        <v>5</v>
      </c>
      <c r="J33">
        <v>6</v>
      </c>
      <c r="K33">
        <v>7</v>
      </c>
      <c r="N33" t="s">
        <v>1025</v>
      </c>
      <c r="AA33" t="s">
        <v>81</v>
      </c>
      <c r="AB33" t="str">
        <f>HLOOKUP($Q$2,$AD$4:$AK$800,AD33)</f>
        <v>When a vector or object is loaded into the coordinate system, this cell indicates the number of the consecutive vector.BUTTON ON THE LEFT: is used to enable/disable the vector thickness and its history.BUTTON ON THE RIGHT is used to compress or expand the configuration cells of each vector.The first vector button will display or compress the settings for all vectors.BUTTON ON THE RIGHT WHEN THERE IS DATA is used to clean the data table.PROPERTIES: The value 0 in this cell does not put the vector in the coordinate system, although it does take into account the parameters and formulas found in its configuration, which is useful in some cases,for example when you do not want to display the vector or when the number of vectors is large and you want to reduce the execution time. The numbers in these cells must be consecutively ascending and must not be repeated.</v>
      </c>
      <c r="AD33">
        <v>30</v>
      </c>
      <c r="AE33" t="str">
        <f>$AE$15</f>
        <v>When a vector or object is loaded into the coordinate system, this cell indicates the number of the consecutive vector.BUTTON ON THE LEFT: is used to enable/disable the vector thickness and its history.BUTTON ON THE RIGHT is used to compress or expand the configuration cells of each vector.The first vector button will display or compress the settings for all vectors.BUTTON ON THE RIGHT WHEN THERE IS DATA is used to clean the data table.PROPERTIES: The value 0 in this cell does not put the vector in the coordinate system, although it does take into account the parameters and formulas found in its configuration, which is useful in some cases,for example when you do not want to display the vector or when the number of vectors is large and you want to reduce the execution time. The numbers in these cells must be consecutively ascending and must not be repeated.</v>
      </c>
      <c r="AF33" t="str">
        <f>$AF$15</f>
        <v>Cuando se carga un vector o un objeto al sistema de coordenadas, esta celda indica el número del vector consecutivo. BOTÓN DE LA IZQUIERDA: se utiliza para activar/desactivar el grosor del vector y su historia. BOTÓN DE LA DERECHA: se utiliza para comprimir o desplegar las celdas de configuración de cada vector. El botón del primer vector desplegará o comprimirá la configuración de todos los vectores.BOTÓN DE LA DERECHA  cuando hay DATOS: se utiliza para borrar la tabla de datos. PROPIEDADES: El valor 0 en esta celda no pone el vector en el sistema de coordenadas, aunque sí tiene en cuenta los parámetros y fórmulas que se encuentran en su configuración, lo cual tiene utilidad en algunos casos,por ejemplo cuando no se quiere visualizar el vector o cuando la cantidad de vectores es grande y se desea reducir el tiempode ejecución. Los números en estas celdas deben ser consecutivos ascendentes y no se deben repetir.</v>
      </c>
    </row>
    <row r="34" spans="1:32" x14ac:dyDescent="0.2">
      <c r="B34">
        <f>HLOOKUP($Q$2,$E$33:$K$150,C34)</f>
        <v>0</v>
      </c>
      <c r="C34">
        <v>2</v>
      </c>
      <c r="G34">
        <v>0</v>
      </c>
      <c r="H34">
        <v>0</v>
      </c>
      <c r="I34">
        <v>0</v>
      </c>
      <c r="J34">
        <v>0</v>
      </c>
      <c r="K34">
        <v>0</v>
      </c>
      <c r="N34" t="s">
        <v>1026</v>
      </c>
      <c r="AA34" t="s">
        <v>84</v>
      </c>
      <c r="AB34" t="str">
        <f>HLOOKUP($Q$2,$AD$4:$AK$800,AD34)</f>
        <v>This cell is used by ScienSolar to indicate whether the vector configuration is unfolded or folded. A value of 0 indicates folded and a value of 1 displays. Do not modify the value of this cell.</v>
      </c>
      <c r="AD34">
        <v>31</v>
      </c>
      <c r="AE34" t="str">
        <f>$AE$16</f>
        <v>This cell is used by ScienSolar to indicate whether the vector configuration is unfolded or folded. A value of 0 indicates folded and a value of 1 displays. Do not modify the value of this cell.</v>
      </c>
      <c r="AF34" t="str">
        <f>$AF$16</f>
        <v xml:space="preserve">Celda utilizada por ScienSolar para indicar si la configuración del vector está desplegada o plegada. El valor 0 indica plegada y el valor 1 desplegada. No modifique el valor de esta celda. </v>
      </c>
    </row>
    <row r="35" spans="1:32" x14ac:dyDescent="0.2">
      <c r="A35" t="s">
        <v>955</v>
      </c>
      <c r="B35" t="str">
        <f>HLOOKUP($Q$2,$E$33:$K$150,C35)</f>
        <v>Periodic Table elements..................</v>
      </c>
      <c r="C35">
        <v>3</v>
      </c>
      <c r="E35" t="s">
        <v>991</v>
      </c>
      <c r="F35" t="s">
        <v>1013</v>
      </c>
      <c r="N35" t="s">
        <v>1027</v>
      </c>
      <c r="AA35" t="s">
        <v>87</v>
      </c>
      <c r="AB35" t="str">
        <f>HLOOKUP($Q$2,$AD$4:$AK$800,AD35)</f>
        <v>The value indicated here represents the number of objects (vectors) cloned for the given vector. When the option of this vector is FIELD MODE the number is greater than 1, otherwise it is equal to 1. PROPERTIES: When you are working in field mode and the number of objects loaded on the sheet is very large, to delete them immediately, place a number greater than 5000 in this cell and press an update button. Otherwise, do not modify this cell.</v>
      </c>
      <c r="AD35">
        <v>32</v>
      </c>
      <c r="AE35" t="str">
        <f>$AE$17</f>
        <v>The value indicated here represents the number of objects (vectors) cloned for the given vector. When the option of this vector is FIELD MODE the number is greater than 1, otherwise it is equal to 1. PROPERTIES: When you are working in field mode and the number of objects loaded on the sheet is very large, to delete them immediately, place a number greater than 5000 in this cell and press an update button. Otherwise, do not modify this cell.</v>
      </c>
      <c r="AF35" t="str">
        <f>$AF$17</f>
        <v>El valor indicado aquí representa el número de objetos (vectores) clonados para el vector dado. Cuando la opción de este vector es MODO CAMPO el número es mayor que 1, de lo contrario es igual a 1. PROPIEDADES: Cuando se está trabajando en modo campo y la cantidad de objetos cargados a la hoja es muy grande, para borrarlos inmediatamente se coloca en esta celda un número mayor a 5000 y se oprime un botón de actualización. De otra manera no modifique esta celda.</v>
      </c>
    </row>
    <row r="36" spans="1:32" x14ac:dyDescent="0.2">
      <c r="A36" t="s">
        <v>956</v>
      </c>
      <c r="AA36" t="s">
        <v>90</v>
      </c>
      <c r="AB36" t="str">
        <f>HLOOKUP($Q$2,$AD$4:$AK$800,AD36)</f>
        <v>This cell is free when the vector (183) is used. PROPERTIES: When a 3D object is loaded (200) this cell is used to enter the rotation angle of the object. As an example see vector number 2 of the 3D Model project (press Run on that project).</v>
      </c>
      <c r="AD36">
        <v>33</v>
      </c>
      <c r="AE36" t="str">
        <f>$AE$18</f>
        <v>This cell is free when the vector (183) is used. PROPERTIES: When a 3D object is loaded (200) this cell is used to enter the rotation angle of the object. As an example see vector number 2 of the 3D Model project (press Run on that project).</v>
      </c>
      <c r="AF36" t="str">
        <f>$AF$18</f>
        <v>Celda libre cuando se usa el vector (183). PROPIEDADES: Cuando se carga un objeto 3D (200) esta celda se usa para introducir el ángulo de rotación del objeto. Como ejemplo ver el vector número 2 del proyecto Modelo 3D (oprimir Ejecutar en ese proyecto).</v>
      </c>
    </row>
    <row r="37" spans="1:32" x14ac:dyDescent="0.2">
      <c r="A37" t="s">
        <v>957</v>
      </c>
      <c r="AA37" t="s">
        <v>93</v>
      </c>
      <c r="AB37" t="str">
        <f>HLOOKUP($Q$2,$AD$4:$AK$800,AD37)</f>
        <v xml:space="preserve">This cell indicates the initial position on the X axis of the current vector. When working in FIELD mode, the code automatically deletes the data in this cell and replaces it with =A11, since in A11 all the initial values of the X coordinates of the field vectors given for a range in the X coordinate will be traversed (in field mode). In this cell the user can enter constant values as well as functions.To see how it works, in a new ScienSolar sheet add a new vector and put in A12 = 4, B12 = 3, C12 = 0. Press XYZ, Put in other values and observe the changes in the coordinate system. </v>
      </c>
      <c r="AD37">
        <v>34</v>
      </c>
      <c r="AE37" t="str">
        <f>$AE$19</f>
        <v xml:space="preserve">This cell indicates the initial position on the X axis of the current vector. When working in FIELD mode, the code automatically deletes the data in this cell and replaces it with =A11, since in A11 all the initial values of the X coordinates of the field vectors given for a range in the X coordinate will be traversed (in field mode). In this cell the user can enter constant values as well as functions.To see how it works, in a new ScienSolar sheet add a new vector and put in A12 = 4, B12 = 3, C12 = 0. Press XYZ, Put in other values and observe the changes in the coordinate system. </v>
      </c>
      <c r="AF37" t="str">
        <f>$AF$19</f>
        <v xml:space="preserve">Esta celda indica la posición inicial en el eje X del vector actual. Cuando se trabaja en modo CAMPO, el código automáticamente borra los datos de esta celda y los reemplaza por =A11, puesto que en A11 se recorrerán (en modo campo) todos los valores iniciales de las coordenadas en X de los vectores del campo. dados para un rango en la coordenada X. En esta celda el usuario puede introducir valores constantes así como funciones.Para ver como funciona, en una nueva hoja de ScienSolar agregue un nuevo vector y en A12 = 4, B12= 3, C12 = 0. Oprima XYZ, Ponga otros valores y observe los cambios en el sistema de coordenadas. </v>
      </c>
    </row>
    <row r="38" spans="1:32" x14ac:dyDescent="0.2">
      <c r="A38" t="s">
        <v>958</v>
      </c>
      <c r="AA38" t="s">
        <v>96</v>
      </c>
      <c r="AB38" t="str">
        <f>HLOOKUP($Q$2,$AD$4:$AK$800,AD38)</f>
        <v>This cell is used by the code when working in FIELD MODE to cycle through all the coordinate values as variables. In other words, this cell is equivalent to the variable X when working with a function f(x). As an example of using this cell, see the ELECTRIC DIPOLE, CYLINDRICAL SYMMETRY and SPHERICAL SYMMETRY projects. For scalar fields, see the FUNCTIONS project.</v>
      </c>
      <c r="AD38">
        <v>35</v>
      </c>
      <c r="AE38" t="str">
        <f>$AE$20</f>
        <v>This cell is used by the code when working in FIELD MODE to cycle through all the coordinate values as variables. In other words, this cell is equivalent to the variable X when working with a function f(x). As an example of using this cell, see the ELECTRIC DIPOLE, CYLINDRICAL SYMMETRY and SPHERICAL SYMMETRY projects. For scalar fields, see the FUNCTIONS project.</v>
      </c>
      <c r="AF38" t="str">
        <f>$AF$20</f>
        <v>Esta celda es usada por el código cuando se trabaja en MODO CAMPO para recorrer todos los valores de las coordenadas como variables. Dicho de otra manera, esta celda equivale a la variable X cuando se trabaja con una función f(x). Como ejemplo de uso de esta celda ver los proyectos DIPOLO ELÉCTRICO, SIMETRÍA CILÍNDRICA y SIMETRÍA ESFÉRICA. Para campos escalares ver el proyecto FUNCIONES.</v>
      </c>
    </row>
    <row r="39" spans="1:32" x14ac:dyDescent="0.2">
      <c r="A39" t="s">
        <v>959</v>
      </c>
      <c r="AA39" t="s">
        <v>99</v>
      </c>
      <c r="AB39" t="str">
        <f>HLOOKUP($Q$2,$AD$4:$AK$800,AD39)</f>
        <v>In this cell the value of the coordinate on the X axis of the vector is entered. When working in FIELD MODE, the function corresponding to the X axis of the vector field is entered here. As an example of use of this cell see the ELECTRICAL DIPOLE, CYLINDRICAL SYMMETRY and SPHERICAL SYMMETRY projects. For scalar fields see the FUNCTIONS project.</v>
      </c>
      <c r="AD39">
        <v>36</v>
      </c>
      <c r="AE39" t="str">
        <f>$AE$21</f>
        <v>In this cell the value of the coordinate on the X axis of the vector is entered. When working in FIELD MODE, the function corresponding to the X axis of the vector field is entered here. As an example of use of this cell see the ELECTRICAL DIPOLE, CYLINDRICAL SYMMETRY and SPHERICAL SYMMETRY projects. For scalar fields see the FUNCTIONS project.</v>
      </c>
      <c r="AF39" t="str">
        <f>$AF$21</f>
        <v>En esta celda se introduce el valor de la coordenada en el eje X del vector. Cuando se trabaja en MODO CAMPO, se introduce aquí la función correspondiente al eje X del campo vectorial. Como ejemplo de uso de esta celda ver los proyectos DIPOLO ELÉCTRICO, SIMETRÍA CILÍNDRICA y SIMETRÍA ESFÉRICA. Para campos escalares ver el proyecto FUNCIONES.</v>
      </c>
    </row>
    <row r="40" spans="1:32" x14ac:dyDescent="0.2">
      <c r="A40" t="s">
        <v>960</v>
      </c>
      <c r="AA40" t="s">
        <v>102</v>
      </c>
      <c r="AB40" t="str">
        <f>HLOOKUP($Q$2,$AD$4:$AK$800,AD40)</f>
        <v>Vector tail. When using a conventional vector (183), the shape of the vector tail can be changed. Some shapes other than 183 can also obey this cell. The Allowed values are 1 to 6. Functions can also be introduced that change this value automatically.</v>
      </c>
      <c r="AD40">
        <v>37</v>
      </c>
      <c r="AE40" t="str">
        <f>$AE$22</f>
        <v>Vector tail. When using a conventional vector (183), the shape of the vector tail can be changed. Some shapes other than 183 can also obey this cell. The Allowed values are 1 to 6. Functions can also be introduced that change this value automatically.</v>
      </c>
      <c r="AF40" t="str">
        <f>$AF$22</f>
        <v>Cola del vector. Cuando se utiliza un vector convencional (183), se puede cambiar la forma de la cola del vector. Algunas otras formas diferentes a la 183 también pueden obedecer a esta celda. Los valores permitidos son del 1 al 6. También pueden introducirse funciones que cambien este valor automáticamente.</v>
      </c>
    </row>
    <row r="41" spans="1:32" x14ac:dyDescent="0.2">
      <c r="A41" t="s">
        <v>956</v>
      </c>
      <c r="AA41" t="s">
        <v>105</v>
      </c>
      <c r="AB41" t="str">
        <f>HLOOKUP($Q$2,$AD$4:$AK$800,AD41)</f>
        <v>Vector head. When using a conventional vector (183), the shape of the vector head can be changed. Some shapes other than 183 can also obey this cell. The Allowed values are 1 to 6. Formulas can also be entered that change this value automatically.</v>
      </c>
      <c r="AD41">
        <v>38</v>
      </c>
      <c r="AE41" t="str">
        <f>$AE$23</f>
        <v>Vector head. When using a conventional vector (183), the shape of the vector head can be changed. Some shapes other than 183 can also obey this cell. The Allowed values are 1 to 6. Formulas can also be entered that change this value automatically.</v>
      </c>
      <c r="AF41" t="str">
        <f>$AF$23</f>
        <v>Cabeza del vector. Cuando se utiliza un vector convencional (183), se puede cambiar la forma de la cabeza del vector. Algunas otras formas diferentes a la 183 también pueden obedecer a esta celda. Los valores permitidos son del 1 al 6. También pueden introducirse funciones que cambien este valor automáticamente.</v>
      </c>
    </row>
    <row r="42" spans="1:32" x14ac:dyDescent="0.2">
      <c r="A42" t="s">
        <v>961</v>
      </c>
      <c r="AA42" t="s">
        <v>108</v>
      </c>
      <c r="AB42" t="str">
        <f>HLOOKUP($Q$2,$AD$4:$AK$800,AD42)</f>
        <v>When a vector or object is loaded into the coordinate system, this cell indicates the number of the consecutive vector.BUTTON ON THE LEFT: is used to enable/disable the vector thickness and its history.BUTTON ON THE RIGHT is used to compress or expand the configuration cells of each vector.The first vector button will display or compress the settings for all vectors.BUTTON ON THE RIGHT WHEN THERE IS DATA is used to clean the data table.PROPERTIES: The value 0 in this cell does not put the vector in the coordinate system, although it does take into account the parameters and formulas found in its configuration, which is useful in some cases,for example when you do not want to display the vector or when the number of vectors is large and you want to reduce the execution time. The numbers in these cells must be consecutively ascending and must not be repeated.</v>
      </c>
      <c r="AD42">
        <v>39</v>
      </c>
      <c r="AE42" t="str">
        <f>$AE$15</f>
        <v>When a vector or object is loaded into the coordinate system, this cell indicates the number of the consecutive vector.BUTTON ON THE LEFT: is used to enable/disable the vector thickness and its history.BUTTON ON THE RIGHT is used to compress or expand the configuration cells of each vector.The first vector button will display or compress the settings for all vectors.BUTTON ON THE RIGHT WHEN THERE IS DATA is used to clean the data table.PROPERTIES: The value 0 in this cell does not put the vector in the coordinate system, although it does take into account the parameters and formulas found in its configuration, which is useful in some cases,for example when you do not want to display the vector or when the number of vectors is large and you want to reduce the execution time. The numbers in these cells must be consecutively ascending and must not be repeated.</v>
      </c>
      <c r="AF42" t="str">
        <f>$AF$15</f>
        <v>Cuando se carga un vector o un objeto al sistema de coordenadas, esta celda indica el número del vector consecutivo. BOTÓN DE LA IZQUIERDA: se utiliza para activar/desactivar el grosor del vector y su historia. BOTÓN DE LA DERECHA: se utiliza para comprimir o desplegar las celdas de configuración de cada vector. El botón del primer vector desplegará o comprimirá la configuración de todos los vectores.BOTÓN DE LA DERECHA  cuando hay DATOS: se utiliza para borrar la tabla de datos. PROPIEDADES: El valor 0 en esta celda no pone el vector en el sistema de coordenadas, aunque sí tiene en cuenta los parámetros y fórmulas que se encuentran en su configuración, lo cual tiene utilidad en algunos casos,por ejemplo cuando no se quiere visualizar el vector o cuando la cantidad de vectores es grande y se desea reducir el tiempode ejecución. Los números en estas celdas deben ser consecutivos ascendentes y no se deben repetir.</v>
      </c>
    </row>
    <row r="43" spans="1:32" x14ac:dyDescent="0.2">
      <c r="A43" t="s">
        <v>962</v>
      </c>
      <c r="AA43" t="s">
        <v>111</v>
      </c>
      <c r="AB43" t="str">
        <f>HLOOKUP($Q$2,$AD$4:$AK$800,AD43)</f>
        <v>This cell is used by ScienSolar to indicate whether the vector configuration is unfolded or folded. A value of 0 indicates folded and a value of 1 displays. Do not modify the value of this cell.</v>
      </c>
      <c r="AD43">
        <v>40</v>
      </c>
      <c r="AE43" t="str">
        <f>$AE$16</f>
        <v>This cell is used by ScienSolar to indicate whether the vector configuration is unfolded or folded. A value of 0 indicates folded and a value of 1 displays. Do not modify the value of this cell.</v>
      </c>
      <c r="AF43" t="str">
        <f>$AF$16</f>
        <v xml:space="preserve">Celda utilizada por ScienSolar para indicar si la configuración del vector está desplegada o plegada. El valor 0 indica plegada y el valor 1 desplegada. No modifique el valor de esta celda. </v>
      </c>
    </row>
    <row r="44" spans="1:32" x14ac:dyDescent="0.2">
      <c r="A44" t="s">
        <v>963</v>
      </c>
      <c r="AA44" t="s">
        <v>114</v>
      </c>
      <c r="AB44" t="str">
        <f>HLOOKUP($Q$2,$AD$4:$AK$800,AD44)</f>
        <v>The value indicated here represents the number of objects (vectors) cloned for the given vector. When the option of this vector is FIELD MODE the number is greater than 1, otherwise it is equal to 1. PROPERTIES: When you are working in field mode and the number of objects loaded on the sheet is very large, to delete them immediately, place a number greater than 5000 in this cell and press an update button. Otherwise, do not modify this cell.</v>
      </c>
      <c r="AD44">
        <v>41</v>
      </c>
      <c r="AE44" t="str">
        <f>$AE$17</f>
        <v>The value indicated here represents the number of objects (vectors) cloned for the given vector. When the option of this vector is FIELD MODE the number is greater than 1, otherwise it is equal to 1. PROPERTIES: When you are working in field mode and the number of objects loaded on the sheet is very large, to delete them immediately, place a number greater than 5000 in this cell and press an update button. Otherwise, do not modify this cell.</v>
      </c>
      <c r="AF44" t="str">
        <f>$AF$17</f>
        <v>El valor indicado aquí representa el número de objetos (vectores) clonados para el vector dado. Cuando la opción de este vector es MODO CAMPO el número es mayor que 1, de lo contrario es igual a 1. PROPIEDADES: Cuando se está trabajando en modo campo y la cantidad de objetos cargados a la hoja es muy grande, para borrarlos inmediatamente se coloca en esta celda un número mayor a 5000 y se oprime un botón de actualización. De otra manera no modifique esta celda.</v>
      </c>
    </row>
    <row r="45" spans="1:32" x14ac:dyDescent="0.2">
      <c r="A45">
        <v>1</v>
      </c>
      <c r="AA45" t="s">
        <v>117</v>
      </c>
      <c r="AB45" t="str">
        <f>HLOOKUP($Q$2,$AD$4:$AK$800,AD45)</f>
        <v>This cell is free when the vector (183) is used. PROPERTIES: When a 3D object is loaded (200) this cell is used to enter the rotation angle of the object. As an example see vector number 2 of the 3D Model project (press Run on that project).</v>
      </c>
      <c r="AD45">
        <v>42</v>
      </c>
      <c r="AE45" t="str">
        <f>$AE$18</f>
        <v>This cell is free when the vector (183) is used. PROPERTIES: When a 3D object is loaded (200) this cell is used to enter the rotation angle of the object. As an example see vector number 2 of the 3D Model project (press Run on that project).</v>
      </c>
      <c r="AF45" t="str">
        <f>$AF$18</f>
        <v>Celda libre cuando se usa el vector (183). PROPIEDADES: Cuando se carga un objeto 3D (200) esta celda se usa para introducir el ángulo de rotación del objeto. Como ejemplo ver el vector número 2 del proyecto Modelo 3D (oprimir Ejecutar en ese proyecto).</v>
      </c>
    </row>
    <row r="46" spans="1:32" x14ac:dyDescent="0.2">
      <c r="AA46" t="s">
        <v>120</v>
      </c>
      <c r="AB46" t="str">
        <f>HLOOKUP($Q$2,$AD$4:$AK$800,AD46)</f>
        <v xml:space="preserve">This cell indicates the initial position on the X axis of the current vector. When working in FIELD mode, the code automatically deletes the data in this cell and replaces it with =A11, since in A11 all the initial values of the X coordinates of the field vectors given for a range in the X coordinate will be traversed (in field mode). In this cell the user can enter constant values as well as functions.To see how it works, in a new ScienSolar sheet add a new vector and put in A12 = 4, B12 = 3, C12 = 0. Press XYZ, Put in other values and observe the changes in the coordinate system. </v>
      </c>
      <c r="AD46">
        <v>43</v>
      </c>
      <c r="AE46" t="str">
        <f>$AE$19</f>
        <v xml:space="preserve">This cell indicates the initial position on the X axis of the current vector. When working in FIELD mode, the code automatically deletes the data in this cell and replaces it with =A11, since in A11 all the initial values of the X coordinates of the field vectors given for a range in the X coordinate will be traversed (in field mode). In this cell the user can enter constant values as well as functions.To see how it works, in a new ScienSolar sheet add a new vector and put in A12 = 4, B12 = 3, C12 = 0. Press XYZ, Put in other values and observe the changes in the coordinate system. </v>
      </c>
      <c r="AF46" t="str">
        <f>$AF$19</f>
        <v xml:space="preserve">Esta celda indica la posición inicial en el eje X del vector actual. Cuando se trabaja en modo CAMPO, el código automáticamente borra los datos de esta celda y los reemplaza por =A11, puesto que en A11 se recorrerán (en modo campo) todos los valores iniciales de las coordenadas en X de los vectores del campo. dados para un rango en la coordenada X. En esta celda el usuario puede introducir valores constantes así como funciones.Para ver como funciona, en una nueva hoja de ScienSolar agregue un nuevo vector y en A12 = 4, B12= 3, C12 = 0. Oprima XYZ, Ponga otros valores y observe los cambios en el sistema de coordenadas. </v>
      </c>
    </row>
    <row r="47" spans="1:32" x14ac:dyDescent="0.2">
      <c r="AA47" t="s">
        <v>123</v>
      </c>
      <c r="AB47" t="str">
        <f>HLOOKUP($Q$2,$AD$4:$AK$800,AD47)</f>
        <v>This cell is used by the code when working in FIELD MODE to cycle through all the coordinate values as variables. In other words, this cell is equivalent to the variable X when working with a function f(x). As an example of using this cell, see the ELECTRIC DIPOLE, CYLINDRICAL SYMMETRY and SPHERICAL SYMMETRY projects. For scalar fields, see the FUNCTIONS project.</v>
      </c>
      <c r="AD47">
        <v>44</v>
      </c>
      <c r="AE47" t="str">
        <f>$AE$20</f>
        <v>This cell is used by the code when working in FIELD MODE to cycle through all the coordinate values as variables. In other words, this cell is equivalent to the variable X when working with a function f(x). As an example of using this cell, see the ELECTRIC DIPOLE, CYLINDRICAL SYMMETRY and SPHERICAL SYMMETRY projects. For scalar fields, see the FUNCTIONS project.</v>
      </c>
      <c r="AF47" t="str">
        <f>$AF$20</f>
        <v>Esta celda es usada por el código cuando se trabaja en MODO CAMPO para recorrer todos los valores de las coordenadas como variables. Dicho de otra manera, esta celda equivale a la variable X cuando se trabaja con una función f(x). Como ejemplo de uso de esta celda ver los proyectos DIPOLO ELÉCTRICO, SIMETRÍA CILÍNDRICA y SIMETRÍA ESFÉRICA. Para campos escalares ver el proyecto FUNCIONES.</v>
      </c>
    </row>
    <row r="48" spans="1:32" x14ac:dyDescent="0.2">
      <c r="AA48" t="s">
        <v>126</v>
      </c>
      <c r="AB48" t="str">
        <f>HLOOKUP($Q$2,$AD$4:$AK$800,AD48)</f>
        <v>In this cell the value of the coordinate on the X axis of the vector is entered. When working in FIELD MODE, the function corresponding to the X axis of the vector field is entered here. As an example of use of this cell see the ELECTRICAL DIPOLE, CYLINDRICAL SYMMETRY and SPHERICAL SYMMETRY projects. For scalar fields see the FUNCTIONS project.</v>
      </c>
      <c r="AD48">
        <v>45</v>
      </c>
      <c r="AE48" t="str">
        <f>$AE$21</f>
        <v>In this cell the value of the coordinate on the X axis of the vector is entered. When working in FIELD MODE, the function corresponding to the X axis of the vector field is entered here. As an example of use of this cell see the ELECTRICAL DIPOLE, CYLINDRICAL SYMMETRY and SPHERICAL SYMMETRY projects. For scalar fields see the FUNCTIONS project.</v>
      </c>
      <c r="AF48" t="str">
        <f>$AF$21</f>
        <v>En esta celda se introduce el valor de la coordenada en el eje X del vector. Cuando se trabaja en MODO CAMPO, se introduce aquí la función correspondiente al eje X del campo vectorial. Como ejemplo de uso de esta celda ver los proyectos DIPOLO ELÉCTRICO, SIMETRÍA CILÍNDRICA y SIMETRÍA ESFÉRICA. Para campos escalares ver el proyecto FUNCIONES.</v>
      </c>
    </row>
    <row r="49" spans="1:32" x14ac:dyDescent="0.2">
      <c r="A49" t="s">
        <v>964</v>
      </c>
      <c r="AA49" t="s">
        <v>129</v>
      </c>
      <c r="AB49" t="str">
        <f>HLOOKUP($Q$2,$AD$4:$AK$800,AD49)</f>
        <v>Vector tail. When using a conventional vector (183), the shape of the vector tail can be changed. Some shapes other than 183 can also obey this cell. The Allowed values are 1 to 6. Functions can also be introduced that change this value automatically.</v>
      </c>
      <c r="AD49">
        <v>46</v>
      </c>
      <c r="AE49" t="str">
        <f>$AE$22</f>
        <v>Vector tail. When using a conventional vector (183), the shape of the vector tail can be changed. Some shapes other than 183 can also obey this cell. The Allowed values are 1 to 6. Functions can also be introduced that change this value automatically.</v>
      </c>
      <c r="AF49" t="str">
        <f>$AF$22</f>
        <v>Cola del vector. Cuando se utiliza un vector convencional (183), se puede cambiar la forma de la cola del vector. Algunas otras formas diferentes a la 183 también pueden obedecer a esta celda. Los valores permitidos son del 1 al 6. También pueden introducirse funciones que cambien este valor automáticamente.</v>
      </c>
    </row>
    <row r="50" spans="1:32" x14ac:dyDescent="0.2">
      <c r="AA50" t="s">
        <v>132</v>
      </c>
      <c r="AB50" t="str">
        <f>HLOOKUP($Q$2,$AD$4:$AK$800,AD50)</f>
        <v>Vector head. When using a conventional vector (183), the shape of the vector head can be changed. Some shapes other than 183 can also obey this cell. The Allowed values are 1 to 6. Formulas can also be entered that change this value automatically.</v>
      </c>
      <c r="AD50">
        <v>47</v>
      </c>
      <c r="AE50" t="str">
        <f>$AE$23</f>
        <v>Vector head. When using a conventional vector (183), the shape of the vector head can be changed. Some shapes other than 183 can also obey this cell. The Allowed values are 1 to 6. Formulas can also be entered that change this value automatically.</v>
      </c>
      <c r="AF50" t="str">
        <f>$AF$23</f>
        <v>Cabeza del vector. Cuando se utiliza un vector convencional (183), se puede cambiar la forma de la cabeza del vector. Algunas otras formas diferentes a la 183 también pueden obedecer a esta celda. Los valores permitidos son del 1 al 6. También pueden introducirse funciones que cambien este valor automáticamente.</v>
      </c>
    </row>
    <row r="51" spans="1:32" x14ac:dyDescent="0.2">
      <c r="AA51" t="s">
        <v>135</v>
      </c>
      <c r="AB51" t="str">
        <f>HLOOKUP($Q$2,$AD$4:$AK$800,AD51)</f>
        <v>When a vector or object is loaded into the coordinate system, this cell indicates the number of the consecutive vector.BUTTON ON THE LEFT: is used to enable/disable the vector thickness and its history.BUTTON ON THE RIGHT is used to compress or expand the configuration cells of each vector.The first vector button will display or compress the settings for all vectors.BUTTON ON THE RIGHT WHEN THERE IS DATA is used to clean the data table.PROPERTIES: The value 0 in this cell does not put the vector in the coordinate system, although it does take into account the parameters and formulas found in its configuration, which is useful in some cases,for example when you do not want to display the vector or when the number of vectors is large and you want to reduce the execution time. The numbers in these cells must be consecutively ascending and must not be repeated.</v>
      </c>
      <c r="AD51">
        <v>48</v>
      </c>
      <c r="AE51" t="str">
        <f>$AE$15</f>
        <v>When a vector or object is loaded into the coordinate system, this cell indicates the number of the consecutive vector.BUTTON ON THE LEFT: is used to enable/disable the vector thickness and its history.BUTTON ON THE RIGHT is used to compress or expand the configuration cells of each vector.The first vector button will display or compress the settings for all vectors.BUTTON ON THE RIGHT WHEN THERE IS DATA is used to clean the data table.PROPERTIES: The value 0 in this cell does not put the vector in the coordinate system, although it does take into account the parameters and formulas found in its configuration, which is useful in some cases,for example when you do not want to display the vector or when the number of vectors is large and you want to reduce the execution time. The numbers in these cells must be consecutively ascending and must not be repeated.</v>
      </c>
      <c r="AF51" t="str">
        <f>$AF$15</f>
        <v>Cuando se carga un vector o un objeto al sistema de coordenadas, esta celda indica el número del vector consecutivo. BOTÓN DE LA IZQUIERDA: se utiliza para activar/desactivar el grosor del vector y su historia. BOTÓN DE LA DERECHA: se utiliza para comprimir o desplegar las celdas de configuración de cada vector. El botón del primer vector desplegará o comprimirá la configuración de todos los vectores.BOTÓN DE LA DERECHA  cuando hay DATOS: se utiliza para borrar la tabla de datos. PROPIEDADES: El valor 0 en esta celda no pone el vector en el sistema de coordenadas, aunque sí tiene en cuenta los parámetros y fórmulas que se encuentran en su configuración, lo cual tiene utilidad en algunos casos,por ejemplo cuando no se quiere visualizar el vector o cuando la cantidad de vectores es grande y se desea reducir el tiempode ejecución. Los números en estas celdas deben ser consecutivos ascendentes y no se deben repetir.</v>
      </c>
    </row>
    <row r="52" spans="1:32" x14ac:dyDescent="0.2">
      <c r="AA52" t="s">
        <v>138</v>
      </c>
      <c r="AB52" t="str">
        <f>HLOOKUP($Q$2,$AD$4:$AK$800,AD52)</f>
        <v>This cell is used by ScienSolar to indicate whether the vector configuration is unfolded or folded. A value of 0 indicates folded and a value of 1 displays. Do not modify the value of this cell.</v>
      </c>
      <c r="AD52">
        <v>49</v>
      </c>
      <c r="AE52" t="str">
        <f>$AE$16</f>
        <v>This cell is used by ScienSolar to indicate whether the vector configuration is unfolded or folded. A value of 0 indicates folded and a value of 1 displays. Do not modify the value of this cell.</v>
      </c>
      <c r="AF52" t="str">
        <f>$AF$16</f>
        <v xml:space="preserve">Celda utilizada por ScienSolar para indicar si la configuración del vector está desplegada o plegada. El valor 0 indica plegada y el valor 1 desplegada. No modifique el valor de esta celda. </v>
      </c>
    </row>
    <row r="53" spans="1:32" x14ac:dyDescent="0.2">
      <c r="AA53" t="s">
        <v>141</v>
      </c>
      <c r="AB53" t="str">
        <f>HLOOKUP($Q$2,$AD$4:$AK$800,AD53)</f>
        <v>The value indicated here represents the number of objects (vectors) cloned for the given vector. When the option of this vector is FIELD MODE the number is greater than 1, otherwise it is equal to 1. PROPERTIES: When you are working in field mode and the number of objects loaded on the sheet is very large, to delete them immediately, place a number greater than 5000 in this cell and press an update button. Otherwise, do not modify this cell.</v>
      </c>
      <c r="AD53">
        <v>50</v>
      </c>
      <c r="AE53" t="str">
        <f>$AE$17</f>
        <v>The value indicated here represents the number of objects (vectors) cloned for the given vector. When the option of this vector is FIELD MODE the number is greater than 1, otherwise it is equal to 1. PROPERTIES: When you are working in field mode and the number of objects loaded on the sheet is very large, to delete them immediately, place a number greater than 5000 in this cell and press an update button. Otherwise, do not modify this cell.</v>
      </c>
      <c r="AF53" t="str">
        <f>$AF$17</f>
        <v>El valor indicado aquí representa el número de objetos (vectores) clonados para el vector dado. Cuando la opción de este vector es MODO CAMPO el número es mayor que 1, de lo contrario es igual a 1. PROPIEDADES: Cuando se está trabajando en modo campo y la cantidad de objetos cargados a la hoja es muy grande, para borrarlos inmediatamente se coloca en esta celda un número mayor a 5000 y se oprime un botón de actualización. De otra manera no modifique esta celda.</v>
      </c>
    </row>
    <row r="54" spans="1:32" x14ac:dyDescent="0.2">
      <c r="AA54" t="s">
        <v>144</v>
      </c>
      <c r="AB54" t="str">
        <f>HLOOKUP($Q$2,$AD$4:$AK$800,AD54)</f>
        <v>This cell is free when the vector (183) is used. PROPERTIES: When a 3D object is loaded (200) this cell is used to enter the rotation angle of the object. As an example see vector number 2 of the 3D Model project (press Run on that project).</v>
      </c>
      <c r="AD54">
        <v>51</v>
      </c>
      <c r="AE54" t="str">
        <f>$AE$18</f>
        <v>This cell is free when the vector (183) is used. PROPERTIES: When a 3D object is loaded (200) this cell is used to enter the rotation angle of the object. As an example see vector number 2 of the 3D Model project (press Run on that project).</v>
      </c>
      <c r="AF54" t="str">
        <f>$AF$18</f>
        <v>Celda libre cuando se usa el vector (183). PROPIEDADES: Cuando se carga un objeto 3D (200) esta celda se usa para introducir el ángulo de rotación del objeto. Como ejemplo ver el vector número 2 del proyecto Modelo 3D (oprimir Ejecutar en ese proyecto).</v>
      </c>
    </row>
    <row r="55" spans="1:32" x14ac:dyDescent="0.2">
      <c r="AA55" t="s">
        <v>147</v>
      </c>
      <c r="AB55" t="str">
        <f>HLOOKUP($Q$2,$AD$4:$AK$800,AD55)</f>
        <v xml:space="preserve">This cell indicates the initial position on the X axis of the current vector. When working in FIELD mode, the code automatically deletes the data in this cell and replaces it with =A11, since in A11 all the initial values of the X coordinates of the field vectors given for a range in the X coordinate will be traversed (in field mode). In this cell the user can enter constant values as well as functions.To see how it works, in a new ScienSolar sheet add a new vector and put in A12 = 4, B12 = 3, C12 = 0. Press XYZ, Put in other values and observe the changes in the coordinate system. </v>
      </c>
      <c r="AD55">
        <v>52</v>
      </c>
      <c r="AE55" t="str">
        <f>$AE$19</f>
        <v xml:space="preserve">This cell indicates the initial position on the X axis of the current vector. When working in FIELD mode, the code automatically deletes the data in this cell and replaces it with =A11, since in A11 all the initial values of the X coordinates of the field vectors given for a range in the X coordinate will be traversed (in field mode). In this cell the user can enter constant values as well as functions.To see how it works, in a new ScienSolar sheet add a new vector and put in A12 = 4, B12 = 3, C12 = 0. Press XYZ, Put in other values and observe the changes in the coordinate system. </v>
      </c>
      <c r="AF55" t="str">
        <f>$AF$19</f>
        <v xml:space="preserve">Esta celda indica la posición inicial en el eje X del vector actual. Cuando se trabaja en modo CAMPO, el código automáticamente borra los datos de esta celda y los reemplaza por =A11, puesto que en A11 se recorrerán (en modo campo) todos los valores iniciales de las coordenadas en X de los vectores del campo. dados para un rango en la coordenada X. En esta celda el usuario puede introducir valores constantes así como funciones.Para ver como funciona, en una nueva hoja de ScienSolar agregue un nuevo vector y en A12 = 4, B12= 3, C12 = 0. Oprima XYZ, Ponga otros valores y observe los cambios en el sistema de coordenadas. </v>
      </c>
    </row>
    <row r="56" spans="1:32" x14ac:dyDescent="0.2">
      <c r="AA56" t="s">
        <v>150</v>
      </c>
      <c r="AB56" t="str">
        <f>HLOOKUP($Q$2,$AD$4:$AK$800,AD56)</f>
        <v>This cell is used by the code when working in FIELD MODE to cycle through all the coordinate values as variables. In other words, this cell is equivalent to the variable X when working with a function f(x). As an example of using this cell, see the ELECTRIC DIPOLE, CYLINDRICAL SYMMETRY and SPHERICAL SYMMETRY projects. For scalar fields, see the FUNCTIONS project.</v>
      </c>
      <c r="AD56">
        <v>53</v>
      </c>
      <c r="AE56" t="str">
        <f>$AE$20</f>
        <v>This cell is used by the code when working in FIELD MODE to cycle through all the coordinate values as variables. In other words, this cell is equivalent to the variable X when working with a function f(x). As an example of using this cell, see the ELECTRIC DIPOLE, CYLINDRICAL SYMMETRY and SPHERICAL SYMMETRY projects. For scalar fields, see the FUNCTIONS project.</v>
      </c>
      <c r="AF56" t="str">
        <f>$AF$20</f>
        <v>Esta celda es usada por el código cuando se trabaja en MODO CAMPO para recorrer todos los valores de las coordenadas como variables. Dicho de otra manera, esta celda equivale a la variable X cuando se trabaja con una función f(x). Como ejemplo de uso de esta celda ver los proyectos DIPOLO ELÉCTRICO, SIMETRÍA CILÍNDRICA y SIMETRÍA ESFÉRICA. Para campos escalares ver el proyecto FUNCIONES.</v>
      </c>
    </row>
    <row r="57" spans="1:32" x14ac:dyDescent="0.2">
      <c r="AA57" t="s">
        <v>153</v>
      </c>
      <c r="AB57" t="str">
        <f>HLOOKUP($Q$2,$AD$4:$AK$800,AD57)</f>
        <v>In this cell the value of the coordinate on the X axis of the vector is entered. When working in FIELD MODE, the function corresponding to the X axis of the vector field is entered here. As an example of use of this cell see the ELECTRICAL DIPOLE, CYLINDRICAL SYMMETRY and SPHERICAL SYMMETRY projects. For scalar fields see the FUNCTIONS project.</v>
      </c>
      <c r="AD57">
        <v>54</v>
      </c>
      <c r="AE57" t="str">
        <f>$AE$21</f>
        <v>In this cell the value of the coordinate on the X axis of the vector is entered. When working in FIELD MODE, the function corresponding to the X axis of the vector field is entered here. As an example of use of this cell see the ELECTRICAL DIPOLE, CYLINDRICAL SYMMETRY and SPHERICAL SYMMETRY projects. For scalar fields see the FUNCTIONS project.</v>
      </c>
      <c r="AF57" t="str">
        <f>$AF$21</f>
        <v>En esta celda se introduce el valor de la coordenada en el eje X del vector. Cuando se trabaja en MODO CAMPO, se introduce aquí la función correspondiente al eje X del campo vectorial. Como ejemplo de uso de esta celda ver los proyectos DIPOLO ELÉCTRICO, SIMETRÍA CILÍNDRICA y SIMETRÍA ESFÉRICA. Para campos escalares ver el proyecto FUNCIONES.</v>
      </c>
    </row>
    <row r="58" spans="1:32" x14ac:dyDescent="0.2">
      <c r="AA58" t="s">
        <v>156</v>
      </c>
      <c r="AB58" t="str">
        <f>HLOOKUP($Q$2,$AD$4:$AK$800,AD58)</f>
        <v>Vector tail. When using a conventional vector (183), the shape of the vector tail can be changed. Some shapes other than 183 can also obey this cell. The Allowed values are 1 to 6. Functions can also be introduced that change this value automatically.</v>
      </c>
      <c r="AD58">
        <v>55</v>
      </c>
      <c r="AE58" t="str">
        <f>$AE$22</f>
        <v>Vector tail. When using a conventional vector (183), the shape of the vector tail can be changed. Some shapes other than 183 can also obey this cell. The Allowed values are 1 to 6. Functions can also be introduced that change this value automatically.</v>
      </c>
      <c r="AF58" t="str">
        <f>$AF$22</f>
        <v>Cola del vector. Cuando se utiliza un vector convencional (183), se puede cambiar la forma de la cola del vector. Algunas otras formas diferentes a la 183 también pueden obedecer a esta celda. Los valores permitidos son del 1 al 6. También pueden introducirse funciones que cambien este valor automáticamente.</v>
      </c>
    </row>
    <row r="59" spans="1:32" x14ac:dyDescent="0.2">
      <c r="AA59" t="s">
        <v>159</v>
      </c>
      <c r="AB59" t="str">
        <f>HLOOKUP($Q$2,$AD$4:$AK$800,AD59)</f>
        <v>Vector head. When using a conventional vector (183), the shape of the vector head can be changed. Some shapes other than 183 can also obey this cell. The Allowed values are 1 to 6. Formulas can also be entered that change this value automatically.</v>
      </c>
      <c r="AD59">
        <v>56</v>
      </c>
      <c r="AE59" t="str">
        <f>$AE$23</f>
        <v>Vector head. When using a conventional vector (183), the shape of the vector head can be changed. Some shapes other than 183 can also obey this cell. The Allowed values are 1 to 6. Formulas can also be entered that change this value automatically.</v>
      </c>
      <c r="AF59" t="str">
        <f>$AF$23</f>
        <v>Cabeza del vector. Cuando se utiliza un vector convencional (183), se puede cambiar la forma de la cabeza del vector. Algunas otras formas diferentes a la 183 también pueden obedecer a esta celda. Los valores permitidos son del 1 al 6. También pueden introducirse funciones que cambien este valor automáticamente.</v>
      </c>
    </row>
    <row r="60" spans="1:32" x14ac:dyDescent="0.2">
      <c r="AA60" t="s">
        <v>162</v>
      </c>
      <c r="AB60" t="str">
        <f>HLOOKUP($Q$2,$AD$4:$AK$800,AD60)</f>
        <v>When a vector or object is loaded into the coordinate system, this cell indicates the number of the consecutive vector.BUTTON ON THE LEFT: is used to enable/disable the vector thickness and its history.BUTTON ON THE RIGHT is used to compress or expand the configuration cells of each vector.The first vector button will display or compress the settings for all vectors.BUTTON ON THE RIGHT WHEN THERE IS DATA is used to clean the data table.PROPERTIES: The value 0 in this cell does not put the vector in the coordinate system, although it does take into account the parameters and formulas found in its configuration, which is useful in some cases,for example when you do not want to display the vector or when the number of vectors is large and you want to reduce the execution time. The numbers in these cells must be consecutively ascending and must not be repeated.</v>
      </c>
      <c r="AD60">
        <v>57</v>
      </c>
      <c r="AE60" t="str">
        <f>$AE$15</f>
        <v>When a vector or object is loaded into the coordinate system, this cell indicates the number of the consecutive vector.BUTTON ON THE LEFT: is used to enable/disable the vector thickness and its history.BUTTON ON THE RIGHT is used to compress or expand the configuration cells of each vector.The first vector button will display or compress the settings for all vectors.BUTTON ON THE RIGHT WHEN THERE IS DATA is used to clean the data table.PROPERTIES: The value 0 in this cell does not put the vector in the coordinate system, although it does take into account the parameters and formulas found in its configuration, which is useful in some cases,for example when you do not want to display the vector or when the number of vectors is large and you want to reduce the execution time. The numbers in these cells must be consecutively ascending and must not be repeated.</v>
      </c>
      <c r="AF60" t="str">
        <f>$AF$15</f>
        <v>Cuando se carga un vector o un objeto al sistema de coordenadas, esta celda indica el número del vector consecutivo. BOTÓN DE LA IZQUIERDA: se utiliza para activar/desactivar el grosor del vector y su historia. BOTÓN DE LA DERECHA: se utiliza para comprimir o desplegar las celdas de configuración de cada vector. El botón del primer vector desplegará o comprimirá la configuración de todos los vectores.BOTÓN DE LA DERECHA  cuando hay DATOS: se utiliza para borrar la tabla de datos. PROPIEDADES: El valor 0 en esta celda no pone el vector en el sistema de coordenadas, aunque sí tiene en cuenta los parámetros y fórmulas que se encuentran en su configuración, lo cual tiene utilidad en algunos casos,por ejemplo cuando no se quiere visualizar el vector o cuando la cantidad de vectores es grande y se desea reducir el tiempode ejecución. Los números en estas celdas deben ser consecutivos ascendentes y no se deben repetir.</v>
      </c>
    </row>
    <row r="61" spans="1:32" x14ac:dyDescent="0.2">
      <c r="AA61" t="s">
        <v>165</v>
      </c>
      <c r="AB61" t="str">
        <f>HLOOKUP($Q$2,$AD$4:$AK$800,AD61)</f>
        <v>This cell is used by ScienSolar to indicate whether the vector configuration is unfolded or folded. A value of 0 indicates folded and a value of 1 displays. Do not modify the value of this cell.</v>
      </c>
      <c r="AD61">
        <v>58</v>
      </c>
      <c r="AE61" t="str">
        <f>$AE$16</f>
        <v>This cell is used by ScienSolar to indicate whether the vector configuration is unfolded or folded. A value of 0 indicates folded and a value of 1 displays. Do not modify the value of this cell.</v>
      </c>
      <c r="AF61" t="str">
        <f>$AF$16</f>
        <v xml:space="preserve">Celda utilizada por ScienSolar para indicar si la configuración del vector está desplegada o plegada. El valor 0 indica plegada y el valor 1 desplegada. No modifique el valor de esta celda. </v>
      </c>
    </row>
    <row r="62" spans="1:32" x14ac:dyDescent="0.2">
      <c r="AA62" t="s">
        <v>168</v>
      </c>
      <c r="AB62" t="str">
        <f>HLOOKUP($Q$2,$AD$4:$AK$800,AD62)</f>
        <v>The value indicated here represents the number of objects (vectors) cloned for the given vector. When the option of this vector is FIELD MODE the number is greater than 1, otherwise it is equal to 1. PROPERTIES: When you are working in field mode and the number of objects loaded on the sheet is very large, to delete them immediately, place a number greater than 5000 in this cell and press an update button. Otherwise, do not modify this cell.</v>
      </c>
      <c r="AD62">
        <v>59</v>
      </c>
      <c r="AE62" t="str">
        <f>$AE$17</f>
        <v>The value indicated here represents the number of objects (vectors) cloned for the given vector. When the option of this vector is FIELD MODE the number is greater than 1, otherwise it is equal to 1. PROPERTIES: When you are working in field mode and the number of objects loaded on the sheet is very large, to delete them immediately, place a number greater than 5000 in this cell and press an update button. Otherwise, do not modify this cell.</v>
      </c>
      <c r="AF62" t="str">
        <f>$AF$17</f>
        <v>El valor indicado aquí representa el número de objetos (vectores) clonados para el vector dado. Cuando la opción de este vector es MODO CAMPO el número es mayor que 1, de lo contrario es igual a 1. PROPIEDADES: Cuando se está trabajando en modo campo y la cantidad de objetos cargados a la hoja es muy grande, para borrarlos inmediatamente se coloca en esta celda un número mayor a 5000 y se oprime un botón de actualización. De otra manera no modifique esta celda.</v>
      </c>
    </row>
    <row r="63" spans="1:32" x14ac:dyDescent="0.2">
      <c r="AA63" t="s">
        <v>171</v>
      </c>
      <c r="AB63" t="str">
        <f>HLOOKUP($Q$2,$AD$4:$AK$800,AD63)</f>
        <v>This cell is free when the vector (183) is used. PROPERTIES: When a 3D object is loaded (200) this cell is used to enter the rotation angle of the object. As an example see vector number 2 of the 3D Model project (press Run on that project).</v>
      </c>
      <c r="AD63">
        <v>60</v>
      </c>
      <c r="AE63" t="str">
        <f>$AE$18</f>
        <v>This cell is free when the vector (183) is used. PROPERTIES: When a 3D object is loaded (200) this cell is used to enter the rotation angle of the object. As an example see vector number 2 of the 3D Model project (press Run on that project).</v>
      </c>
      <c r="AF63" t="str">
        <f>$AF$18</f>
        <v>Celda libre cuando se usa el vector (183). PROPIEDADES: Cuando se carga un objeto 3D (200) esta celda se usa para introducir el ángulo de rotación del objeto. Como ejemplo ver el vector número 2 del proyecto Modelo 3D (oprimir Ejecutar en ese proyecto).</v>
      </c>
    </row>
    <row r="64" spans="1:32" x14ac:dyDescent="0.2">
      <c r="AA64" t="s">
        <v>174</v>
      </c>
      <c r="AB64" t="str">
        <f>HLOOKUP($Q$2,$AD$4:$AK$800,AD64)</f>
        <v xml:space="preserve">This cell indicates the initial position on the X axis of the current vector. When working in FIELD mode, the code automatically deletes the data in this cell and replaces it with =A11, since in A11 all the initial values of the X coordinates of the field vectors given for a range in the X coordinate will be traversed (in field mode). In this cell the user can enter constant values as well as functions.To see how it works, in a new ScienSolar sheet add a new vector and put in A12 = 4, B12 = 3, C12 = 0. Press XYZ, Put in other values and observe the changes in the coordinate system. </v>
      </c>
      <c r="AD64">
        <v>61</v>
      </c>
      <c r="AE64" t="str">
        <f>$AE$19</f>
        <v xml:space="preserve">This cell indicates the initial position on the X axis of the current vector. When working in FIELD mode, the code automatically deletes the data in this cell and replaces it with =A11, since in A11 all the initial values of the X coordinates of the field vectors given for a range in the X coordinate will be traversed (in field mode). In this cell the user can enter constant values as well as functions.To see how it works, in a new ScienSolar sheet add a new vector and put in A12 = 4, B12 = 3, C12 = 0. Press XYZ, Put in other values and observe the changes in the coordinate system. </v>
      </c>
      <c r="AF64" t="str">
        <f>$AF$19</f>
        <v xml:space="preserve">Esta celda indica la posición inicial en el eje X del vector actual. Cuando se trabaja en modo CAMPO, el código automáticamente borra los datos de esta celda y los reemplaza por =A11, puesto que en A11 se recorrerán (en modo campo) todos los valores iniciales de las coordenadas en X de los vectores del campo. dados para un rango en la coordenada X. En esta celda el usuario puede introducir valores constantes así como funciones.Para ver como funciona, en una nueva hoja de ScienSolar agregue un nuevo vector y en A12 = 4, B12= 3, C12 = 0. Oprima XYZ, Ponga otros valores y observe los cambios en el sistema de coordenadas. </v>
      </c>
    </row>
    <row r="65" spans="27:32" x14ac:dyDescent="0.2">
      <c r="AA65" t="s">
        <v>177</v>
      </c>
      <c r="AB65" t="str">
        <f>HLOOKUP($Q$2,$AD$4:$AK$800,AD65)</f>
        <v>This cell is used by the code when working in FIELD MODE to cycle through all the coordinate values as variables. In other words, this cell is equivalent to the variable X when working with a function f(x). As an example of using this cell, see the ELECTRIC DIPOLE, CYLINDRICAL SYMMETRY and SPHERICAL SYMMETRY projects. For scalar fields, see the FUNCTIONS project.</v>
      </c>
      <c r="AD65">
        <v>62</v>
      </c>
      <c r="AE65" t="str">
        <f>$AE$20</f>
        <v>This cell is used by the code when working in FIELD MODE to cycle through all the coordinate values as variables. In other words, this cell is equivalent to the variable X when working with a function f(x). As an example of using this cell, see the ELECTRIC DIPOLE, CYLINDRICAL SYMMETRY and SPHERICAL SYMMETRY projects. For scalar fields, see the FUNCTIONS project.</v>
      </c>
      <c r="AF65" t="str">
        <f>$AF$20</f>
        <v>Esta celda es usada por el código cuando se trabaja en MODO CAMPO para recorrer todos los valores de las coordenadas como variables. Dicho de otra manera, esta celda equivale a la variable X cuando se trabaja con una función f(x). Como ejemplo de uso de esta celda ver los proyectos DIPOLO ELÉCTRICO, SIMETRÍA CILÍNDRICA y SIMETRÍA ESFÉRICA. Para campos escalares ver el proyecto FUNCIONES.</v>
      </c>
    </row>
    <row r="66" spans="27:32" x14ac:dyDescent="0.2">
      <c r="AA66" t="s">
        <v>180</v>
      </c>
      <c r="AB66" t="str">
        <f>HLOOKUP($Q$2,$AD$4:$AK$800,AD66)</f>
        <v>In this cell the value of the coordinate on the X axis of the vector is entered. When working in FIELD MODE, the function corresponding to the X axis of the vector field is entered here. As an example of use of this cell see the ELECTRICAL DIPOLE, CYLINDRICAL SYMMETRY and SPHERICAL SYMMETRY projects. For scalar fields see the FUNCTIONS project.</v>
      </c>
      <c r="AD66">
        <v>63</v>
      </c>
      <c r="AE66" t="str">
        <f>$AE$21</f>
        <v>In this cell the value of the coordinate on the X axis of the vector is entered. When working in FIELD MODE, the function corresponding to the X axis of the vector field is entered here. As an example of use of this cell see the ELECTRICAL DIPOLE, CYLINDRICAL SYMMETRY and SPHERICAL SYMMETRY projects. For scalar fields see the FUNCTIONS project.</v>
      </c>
      <c r="AF66" t="str">
        <f>$AF$21</f>
        <v>En esta celda se introduce el valor de la coordenada en el eje X del vector. Cuando se trabaja en MODO CAMPO, se introduce aquí la función correspondiente al eje X del campo vectorial. Como ejemplo de uso de esta celda ver los proyectos DIPOLO ELÉCTRICO, SIMETRÍA CILÍNDRICA y SIMETRÍA ESFÉRICA. Para campos escalares ver el proyecto FUNCIONES.</v>
      </c>
    </row>
    <row r="67" spans="27:32" x14ac:dyDescent="0.2">
      <c r="AA67" t="s">
        <v>183</v>
      </c>
      <c r="AB67" t="str">
        <f>HLOOKUP($Q$2,$AD$4:$AK$800,AD67)</f>
        <v>Vector tail. When using a conventional vector (183), the shape of the vector tail can be changed. Some shapes other than 183 can also obey this cell. The Allowed values are 1 to 6. Functions can also be introduced that change this value automatically.</v>
      </c>
      <c r="AD67">
        <v>64</v>
      </c>
      <c r="AE67" t="str">
        <f>$AE$22</f>
        <v>Vector tail. When using a conventional vector (183), the shape of the vector tail can be changed. Some shapes other than 183 can also obey this cell. The Allowed values are 1 to 6. Functions can also be introduced that change this value automatically.</v>
      </c>
      <c r="AF67" t="str">
        <f>$AF$22</f>
        <v>Cola del vector. Cuando se utiliza un vector convencional (183), se puede cambiar la forma de la cola del vector. Algunas otras formas diferentes a la 183 también pueden obedecer a esta celda. Los valores permitidos son del 1 al 6. También pueden introducirse funciones que cambien este valor automáticamente.</v>
      </c>
    </row>
    <row r="68" spans="27:32" x14ac:dyDescent="0.2">
      <c r="AA68" t="s">
        <v>186</v>
      </c>
      <c r="AB68" t="str">
        <f>HLOOKUP($Q$2,$AD$4:$AK$800,AD68)</f>
        <v>Vector head. When using a conventional vector (183), the shape of the vector head can be changed. Some shapes other than 183 can also obey this cell. The Allowed values are 1 to 6. Formulas can also be entered that change this value automatically.</v>
      </c>
      <c r="AD68">
        <v>65</v>
      </c>
      <c r="AE68" t="str">
        <f>$AE$23</f>
        <v>Vector head. When using a conventional vector (183), the shape of the vector head can be changed. Some shapes other than 183 can also obey this cell. The Allowed values are 1 to 6. Formulas can also be entered that change this value automatically.</v>
      </c>
      <c r="AF68" t="str">
        <f>$AF$23</f>
        <v>Cabeza del vector. Cuando se utiliza un vector convencional (183), se puede cambiar la forma de la cabeza del vector. Algunas otras formas diferentes a la 183 también pueden obedecer a esta celda. Los valores permitidos son del 1 al 6. También pueden introducirse funciones que cambien este valor automáticamente.</v>
      </c>
    </row>
    <row r="69" spans="27:32" x14ac:dyDescent="0.2">
      <c r="AA69" t="s">
        <v>189</v>
      </c>
      <c r="AB69" t="str">
        <f>HLOOKUP($Q$2,$AD$4:$AK$800,AD69)</f>
        <v>When a vector or object is loaded into the coordinate system, this cell indicates the number of the consecutive vector.BUTTON ON THE LEFT: is used to enable/disable the vector thickness and its history.BUTTON ON THE RIGHT is used to compress or expand the configuration cells of each vector.The first vector button will display or compress the settings for all vectors.BUTTON ON THE RIGHT WHEN THERE IS DATA is used to clean the data table.PROPERTIES: The value 0 in this cell does not put the vector in the coordinate system, although it does take into account the parameters and formulas found in its configuration, which is useful in some cases,for example when you do not want to display the vector or when the number of vectors is large and you want to reduce the execution time. The numbers in these cells must be consecutively ascending and must not be repeated.</v>
      </c>
      <c r="AD69">
        <v>66</v>
      </c>
      <c r="AE69" t="str">
        <f>$AE$15</f>
        <v>When a vector or object is loaded into the coordinate system, this cell indicates the number of the consecutive vector.BUTTON ON THE LEFT: is used to enable/disable the vector thickness and its history.BUTTON ON THE RIGHT is used to compress or expand the configuration cells of each vector.The first vector button will display or compress the settings for all vectors.BUTTON ON THE RIGHT WHEN THERE IS DATA is used to clean the data table.PROPERTIES: The value 0 in this cell does not put the vector in the coordinate system, although it does take into account the parameters and formulas found in its configuration, which is useful in some cases,for example when you do not want to display the vector or when the number of vectors is large and you want to reduce the execution time. The numbers in these cells must be consecutively ascending and must not be repeated.</v>
      </c>
      <c r="AF69" t="str">
        <f>$AF$15</f>
        <v>Cuando se carga un vector o un objeto al sistema de coordenadas, esta celda indica el número del vector consecutivo. BOTÓN DE LA IZQUIERDA: se utiliza para activar/desactivar el grosor del vector y su historia. BOTÓN DE LA DERECHA: se utiliza para comprimir o desplegar las celdas de configuración de cada vector. El botón del primer vector desplegará o comprimirá la configuración de todos los vectores.BOTÓN DE LA DERECHA  cuando hay DATOS: se utiliza para borrar la tabla de datos. PROPIEDADES: El valor 0 en esta celda no pone el vector en el sistema de coordenadas, aunque sí tiene en cuenta los parámetros y fórmulas que se encuentran en su configuración, lo cual tiene utilidad en algunos casos,por ejemplo cuando no se quiere visualizar el vector o cuando la cantidad de vectores es grande y se desea reducir el tiempode ejecución. Los números en estas celdas deben ser consecutivos ascendentes y no se deben repetir.</v>
      </c>
    </row>
    <row r="70" spans="27:32" x14ac:dyDescent="0.2">
      <c r="AA70" t="s">
        <v>192</v>
      </c>
      <c r="AB70" t="str">
        <f>HLOOKUP($Q$2,$AD$4:$AK$800,AD70)</f>
        <v>This cell is used by ScienSolar to indicate whether the vector configuration is unfolded or folded. A value of 0 indicates folded and a value of 1 displays. Do not modify the value of this cell.</v>
      </c>
      <c r="AD70">
        <v>67</v>
      </c>
      <c r="AE70" t="str">
        <f>$AE$16</f>
        <v>This cell is used by ScienSolar to indicate whether the vector configuration is unfolded or folded. A value of 0 indicates folded and a value of 1 displays. Do not modify the value of this cell.</v>
      </c>
      <c r="AF70" t="str">
        <f>$AF$16</f>
        <v xml:space="preserve">Celda utilizada por ScienSolar para indicar si la configuración del vector está desplegada o plegada. El valor 0 indica plegada y el valor 1 desplegada. No modifique el valor de esta celda. </v>
      </c>
    </row>
    <row r="71" spans="27:32" x14ac:dyDescent="0.2">
      <c r="AA71" t="s">
        <v>195</v>
      </c>
      <c r="AB71" t="str">
        <f>HLOOKUP($Q$2,$AD$4:$AK$800,AD71)</f>
        <v>The value indicated here represents the number of objects (vectors) cloned for the given vector. When the option of this vector is FIELD MODE the number is greater than 1, otherwise it is equal to 1. PROPERTIES: When you are working in field mode and the number of objects loaded on the sheet is very large, to delete them immediately, place a number greater than 5000 in this cell and press an update button. Otherwise, do not modify this cell.</v>
      </c>
      <c r="AD71">
        <v>68</v>
      </c>
      <c r="AE71" t="str">
        <f>$AE$17</f>
        <v>The value indicated here represents the number of objects (vectors) cloned for the given vector. When the option of this vector is FIELD MODE the number is greater than 1, otherwise it is equal to 1. PROPERTIES: When you are working in field mode and the number of objects loaded on the sheet is very large, to delete them immediately, place a number greater than 5000 in this cell and press an update button. Otherwise, do not modify this cell.</v>
      </c>
      <c r="AF71" t="str">
        <f>$AF$17</f>
        <v>El valor indicado aquí representa el número de objetos (vectores) clonados para el vector dado. Cuando la opción de este vector es MODO CAMPO el número es mayor que 1, de lo contrario es igual a 1. PROPIEDADES: Cuando se está trabajando en modo campo y la cantidad de objetos cargados a la hoja es muy grande, para borrarlos inmediatamente se coloca en esta celda un número mayor a 5000 y se oprime un botón de actualización. De otra manera no modifique esta celda.</v>
      </c>
    </row>
    <row r="72" spans="27:32" x14ac:dyDescent="0.2">
      <c r="AA72" t="s">
        <v>198</v>
      </c>
      <c r="AB72" t="str">
        <f>HLOOKUP($Q$2,$AD$4:$AK$800,AD72)</f>
        <v>This cell is free when the vector (183) is used. PROPERTIES: When a 3D object is loaded (200) this cell is used to enter the rotation angle of the object. As an example see vector number 2 of the 3D Model project (press Run on that project).</v>
      </c>
      <c r="AD72">
        <v>69</v>
      </c>
      <c r="AE72" t="str">
        <f>$AE$18</f>
        <v>This cell is free when the vector (183) is used. PROPERTIES: When a 3D object is loaded (200) this cell is used to enter the rotation angle of the object. As an example see vector number 2 of the 3D Model project (press Run on that project).</v>
      </c>
      <c r="AF72" t="str">
        <f>$AF$18</f>
        <v>Celda libre cuando se usa el vector (183). PROPIEDADES: Cuando se carga un objeto 3D (200) esta celda se usa para introducir el ángulo de rotación del objeto. Como ejemplo ver el vector número 2 del proyecto Modelo 3D (oprimir Ejecutar en ese proyecto).</v>
      </c>
    </row>
    <row r="73" spans="27:32" x14ac:dyDescent="0.2">
      <c r="AA73" t="s">
        <v>201</v>
      </c>
      <c r="AB73" t="str">
        <f>HLOOKUP($Q$2,$AD$4:$AK$800,AD73)</f>
        <v xml:space="preserve">This cell indicates the initial position on the X axis of the current vector. When working in FIELD mode, the code automatically deletes the data in this cell and replaces it with =A11, since in A11 all the initial values of the X coordinates of the field vectors given for a range in the X coordinate will be traversed (in field mode). In this cell the user can enter constant values as well as functions.To see how it works, in a new ScienSolar sheet add a new vector and put in A12 = 4, B12 = 3, C12 = 0. Press XYZ, Put in other values and observe the changes in the coordinate system. </v>
      </c>
      <c r="AD73">
        <v>70</v>
      </c>
      <c r="AE73" t="str">
        <f>$AE$19</f>
        <v xml:space="preserve">This cell indicates the initial position on the X axis of the current vector. When working in FIELD mode, the code automatically deletes the data in this cell and replaces it with =A11, since in A11 all the initial values of the X coordinates of the field vectors given for a range in the X coordinate will be traversed (in field mode). In this cell the user can enter constant values as well as functions.To see how it works, in a new ScienSolar sheet add a new vector and put in A12 = 4, B12 = 3, C12 = 0. Press XYZ, Put in other values and observe the changes in the coordinate system. </v>
      </c>
      <c r="AF73" t="str">
        <f>$AF$19</f>
        <v xml:space="preserve">Esta celda indica la posición inicial en el eje X del vector actual. Cuando se trabaja en modo CAMPO, el código automáticamente borra los datos de esta celda y los reemplaza por =A11, puesto que en A11 se recorrerán (en modo campo) todos los valores iniciales de las coordenadas en X de los vectores del campo. dados para un rango en la coordenada X. En esta celda el usuario puede introducir valores constantes así como funciones.Para ver como funciona, en una nueva hoja de ScienSolar agregue un nuevo vector y en A12 = 4, B12= 3, C12 = 0. Oprima XYZ, Ponga otros valores y observe los cambios en el sistema de coordenadas. </v>
      </c>
    </row>
    <row r="74" spans="27:32" x14ac:dyDescent="0.2">
      <c r="AA74" t="s">
        <v>204</v>
      </c>
      <c r="AB74" t="str">
        <f>HLOOKUP($Q$2,$AD$4:$AK$800,AD74)</f>
        <v>This cell is used by the code when working in FIELD MODE to cycle through all the coordinate values as variables. In other words, this cell is equivalent to the variable X when working with a function f(x). As an example of using this cell, see the ELECTRIC DIPOLE, CYLINDRICAL SYMMETRY and SPHERICAL SYMMETRY projects. For scalar fields, see the FUNCTIONS project.</v>
      </c>
      <c r="AD74">
        <v>71</v>
      </c>
      <c r="AE74" t="str">
        <f>$AE$20</f>
        <v>This cell is used by the code when working in FIELD MODE to cycle through all the coordinate values as variables. In other words, this cell is equivalent to the variable X when working with a function f(x). As an example of using this cell, see the ELECTRIC DIPOLE, CYLINDRICAL SYMMETRY and SPHERICAL SYMMETRY projects. For scalar fields, see the FUNCTIONS project.</v>
      </c>
      <c r="AF74" t="str">
        <f>$AF$20</f>
        <v>Esta celda es usada por el código cuando se trabaja en MODO CAMPO para recorrer todos los valores de las coordenadas como variables. Dicho de otra manera, esta celda equivale a la variable X cuando se trabaja con una función f(x). Como ejemplo de uso de esta celda ver los proyectos DIPOLO ELÉCTRICO, SIMETRÍA CILÍNDRICA y SIMETRÍA ESFÉRICA. Para campos escalares ver el proyecto FUNCIONES.</v>
      </c>
    </row>
    <row r="75" spans="27:32" x14ac:dyDescent="0.2">
      <c r="AA75" t="s">
        <v>207</v>
      </c>
      <c r="AB75" t="str">
        <f>HLOOKUP($Q$2,$AD$4:$AK$800,AD75)</f>
        <v>In this cell the value of the coordinate on the X axis of the vector is entered. When working in FIELD MODE, the function corresponding to the X axis of the vector field is entered here. As an example of use of this cell see the ELECTRICAL DIPOLE, CYLINDRICAL SYMMETRY and SPHERICAL SYMMETRY projects. For scalar fields see the FUNCTIONS project.</v>
      </c>
      <c r="AD75">
        <v>72</v>
      </c>
      <c r="AE75" t="str">
        <f>$AE$21</f>
        <v>In this cell the value of the coordinate on the X axis of the vector is entered. When working in FIELD MODE, the function corresponding to the X axis of the vector field is entered here. As an example of use of this cell see the ELECTRICAL DIPOLE, CYLINDRICAL SYMMETRY and SPHERICAL SYMMETRY projects. For scalar fields see the FUNCTIONS project.</v>
      </c>
      <c r="AF75" t="str">
        <f>$AF$21</f>
        <v>En esta celda se introduce el valor de la coordenada en el eje X del vector. Cuando se trabaja en MODO CAMPO, se introduce aquí la función correspondiente al eje X del campo vectorial. Como ejemplo de uso de esta celda ver los proyectos DIPOLO ELÉCTRICO, SIMETRÍA CILÍNDRICA y SIMETRÍA ESFÉRICA. Para campos escalares ver el proyecto FUNCIONES.</v>
      </c>
    </row>
    <row r="76" spans="27:32" x14ac:dyDescent="0.2">
      <c r="AA76" t="s">
        <v>210</v>
      </c>
      <c r="AB76" t="str">
        <f>HLOOKUP($Q$2,$AD$4:$AK$800,AD76)</f>
        <v>Vector tail. When using a conventional vector (183), the shape of the vector tail can be changed. Some shapes other than 183 can also obey this cell. The Allowed values are 1 to 6. Functions can also be introduced that change this value automatically.</v>
      </c>
      <c r="AD76">
        <v>73</v>
      </c>
      <c r="AE76" t="str">
        <f>$AE$22</f>
        <v>Vector tail. When using a conventional vector (183), the shape of the vector tail can be changed. Some shapes other than 183 can also obey this cell. The Allowed values are 1 to 6. Functions can also be introduced that change this value automatically.</v>
      </c>
      <c r="AF76" t="str">
        <f>$AF$22</f>
        <v>Cola del vector. Cuando se utiliza un vector convencional (183), se puede cambiar la forma de la cola del vector. Algunas otras formas diferentes a la 183 también pueden obedecer a esta celda. Los valores permitidos son del 1 al 6. También pueden introducirse funciones que cambien este valor automáticamente.</v>
      </c>
    </row>
    <row r="77" spans="27:32" x14ac:dyDescent="0.2">
      <c r="AA77" t="s">
        <v>213</v>
      </c>
      <c r="AB77" t="str">
        <f>HLOOKUP($Q$2,$AD$4:$AK$800,AD77)</f>
        <v>Vector head. When using a conventional vector (183), the shape of the vector head can be changed. Some shapes other than 183 can also obey this cell. The Allowed values are 1 to 6. Formulas can also be entered that change this value automatically.</v>
      </c>
      <c r="AD77">
        <v>74</v>
      </c>
      <c r="AE77" t="str">
        <f>$AE$23</f>
        <v>Vector head. When using a conventional vector (183), the shape of the vector head can be changed. Some shapes other than 183 can also obey this cell. The Allowed values are 1 to 6. Formulas can also be entered that change this value automatically.</v>
      </c>
      <c r="AF77" t="str">
        <f>$AF$23</f>
        <v>Cabeza del vector. Cuando se utiliza un vector convencional (183), se puede cambiar la forma de la cabeza del vector. Algunas otras formas diferentes a la 183 también pueden obedecer a esta celda. Los valores permitidos son del 1 al 6. También pueden introducirse funciones que cambien este valor automáticamente.</v>
      </c>
    </row>
    <row r="78" spans="27:32" x14ac:dyDescent="0.2">
      <c r="AA78" t="s">
        <v>216</v>
      </c>
      <c r="AB78" t="str">
        <f>HLOOKUP($Q$2,$AD$4:$AK$800,AD78)</f>
        <v>When a vector or object is loaded into the coordinate system, this cell indicates the number of the consecutive vector.BUTTON ON THE LEFT: is used to enable/disable the vector thickness and its history.BUTTON ON THE RIGHT is used to compress or expand the configuration cells of each vector.The first vector button will display or compress the settings for all vectors.BUTTON ON THE RIGHT WHEN THERE IS DATA is used to clean the data table.PROPERTIES: The value 0 in this cell does not put the vector in the coordinate system, although it does take into account the parameters and formulas found in its configuration, which is useful in some cases,for example when you do not want to display the vector or when the number of vectors is large and you want to reduce the execution time. The numbers in these cells must be consecutively ascending and must not be repeated.</v>
      </c>
      <c r="AD78">
        <v>75</v>
      </c>
      <c r="AE78" t="str">
        <f>$AE$15</f>
        <v>When a vector or object is loaded into the coordinate system, this cell indicates the number of the consecutive vector.BUTTON ON THE LEFT: is used to enable/disable the vector thickness and its history.BUTTON ON THE RIGHT is used to compress or expand the configuration cells of each vector.The first vector button will display or compress the settings for all vectors.BUTTON ON THE RIGHT WHEN THERE IS DATA is used to clean the data table.PROPERTIES: The value 0 in this cell does not put the vector in the coordinate system, although it does take into account the parameters and formulas found in its configuration, which is useful in some cases,for example when you do not want to display the vector or when the number of vectors is large and you want to reduce the execution time. The numbers in these cells must be consecutively ascending and must not be repeated.</v>
      </c>
      <c r="AF78" t="str">
        <f>$AF$15</f>
        <v>Cuando se carga un vector o un objeto al sistema de coordenadas, esta celda indica el número del vector consecutivo. BOTÓN DE LA IZQUIERDA: se utiliza para activar/desactivar el grosor del vector y su historia. BOTÓN DE LA DERECHA: se utiliza para comprimir o desplegar las celdas de configuración de cada vector. El botón del primer vector desplegará o comprimirá la configuración de todos los vectores.BOTÓN DE LA DERECHA  cuando hay DATOS: se utiliza para borrar la tabla de datos. PROPIEDADES: El valor 0 en esta celda no pone el vector en el sistema de coordenadas, aunque sí tiene en cuenta los parámetros y fórmulas que se encuentran en su configuración, lo cual tiene utilidad en algunos casos,por ejemplo cuando no se quiere visualizar el vector o cuando la cantidad de vectores es grande y se desea reducir el tiempode ejecución. Los números en estas celdas deben ser consecutivos ascendentes y no se deben repetir.</v>
      </c>
    </row>
    <row r="79" spans="27:32" x14ac:dyDescent="0.2">
      <c r="AA79" t="s">
        <v>219</v>
      </c>
      <c r="AB79" t="str">
        <f>HLOOKUP($Q$2,$AD$4:$AK$800,AD79)</f>
        <v>This cell is used by ScienSolar to indicate whether the vector configuration is unfolded or folded. A value of 0 indicates folded and a value of 1 displays. Do not modify the value of this cell.</v>
      </c>
      <c r="AD79">
        <v>76</v>
      </c>
      <c r="AE79" t="str">
        <f>$AE$16</f>
        <v>This cell is used by ScienSolar to indicate whether the vector configuration is unfolded or folded. A value of 0 indicates folded and a value of 1 displays. Do not modify the value of this cell.</v>
      </c>
      <c r="AF79" t="str">
        <f>$AF$16</f>
        <v xml:space="preserve">Celda utilizada por ScienSolar para indicar si la configuración del vector está desplegada o plegada. El valor 0 indica plegada y el valor 1 desplegada. No modifique el valor de esta celda. </v>
      </c>
    </row>
    <row r="80" spans="27:32" x14ac:dyDescent="0.2">
      <c r="AA80" t="s">
        <v>222</v>
      </c>
      <c r="AB80" t="str">
        <f>HLOOKUP($Q$2,$AD$4:$AK$800,AD80)</f>
        <v>The value indicated here represents the number of objects (vectors) cloned for the given vector. When the option of this vector is FIELD MODE the number is greater than 1, otherwise it is equal to 1. PROPERTIES: When you are working in field mode and the number of objects loaded on the sheet is very large, to delete them immediately, place a number greater than 5000 in this cell and press an update button. Otherwise, do not modify this cell.</v>
      </c>
      <c r="AD80">
        <v>77</v>
      </c>
      <c r="AE80" t="str">
        <f>$AE$17</f>
        <v>The value indicated here represents the number of objects (vectors) cloned for the given vector. When the option of this vector is FIELD MODE the number is greater than 1, otherwise it is equal to 1. PROPERTIES: When you are working in field mode and the number of objects loaded on the sheet is very large, to delete them immediately, place a number greater than 5000 in this cell and press an update button. Otherwise, do not modify this cell.</v>
      </c>
      <c r="AF80" t="str">
        <f>$AF$17</f>
        <v>El valor indicado aquí representa el número de objetos (vectores) clonados para el vector dado. Cuando la opción de este vector es MODO CAMPO el número es mayor que 1, de lo contrario es igual a 1. PROPIEDADES: Cuando se está trabajando en modo campo y la cantidad de objetos cargados a la hoja es muy grande, para borrarlos inmediatamente se coloca en esta celda un número mayor a 5000 y se oprime un botón de actualización. De otra manera no modifique esta celda.</v>
      </c>
    </row>
    <row r="81" spans="27:32" x14ac:dyDescent="0.2">
      <c r="AA81" t="s">
        <v>225</v>
      </c>
      <c r="AB81" t="str">
        <f>HLOOKUP($Q$2,$AD$4:$AK$800,AD81)</f>
        <v>This cell is free when the vector (183) is used. PROPERTIES: When a 3D object is loaded (200) this cell is used to enter the rotation angle of the object. As an example see vector number 2 of the 3D Model project (press Run on that project).</v>
      </c>
      <c r="AD81">
        <v>78</v>
      </c>
      <c r="AE81" t="str">
        <f>$AE$18</f>
        <v>This cell is free when the vector (183) is used. PROPERTIES: When a 3D object is loaded (200) this cell is used to enter the rotation angle of the object. As an example see vector number 2 of the 3D Model project (press Run on that project).</v>
      </c>
      <c r="AF81" t="str">
        <f>$AF$18</f>
        <v>Celda libre cuando se usa el vector (183). PROPIEDADES: Cuando se carga un objeto 3D (200) esta celda se usa para introducir el ángulo de rotación del objeto. Como ejemplo ver el vector número 2 del proyecto Modelo 3D (oprimir Ejecutar en ese proyecto).</v>
      </c>
    </row>
    <row r="82" spans="27:32" x14ac:dyDescent="0.2">
      <c r="AA82" t="s">
        <v>228</v>
      </c>
      <c r="AB82" t="str">
        <f>HLOOKUP($Q$2,$AD$4:$AK$800,AD82)</f>
        <v xml:space="preserve">This cell indicates the initial position on the X axis of the current vector. When working in FIELD mode, the code automatically deletes the data in this cell and replaces it with =A11, since in A11 all the initial values of the X coordinates of the field vectors given for a range in the X coordinate will be traversed (in field mode). In this cell the user can enter constant values as well as functions.To see how it works, in a new ScienSolar sheet add a new vector and put in A12 = 4, B12 = 3, C12 = 0. Press XYZ, Put in other values and observe the changes in the coordinate system. </v>
      </c>
      <c r="AD82">
        <v>79</v>
      </c>
      <c r="AE82" t="str">
        <f>$AE$19</f>
        <v xml:space="preserve">This cell indicates the initial position on the X axis of the current vector. When working in FIELD mode, the code automatically deletes the data in this cell and replaces it with =A11, since in A11 all the initial values of the X coordinates of the field vectors given for a range in the X coordinate will be traversed (in field mode). In this cell the user can enter constant values as well as functions.To see how it works, in a new ScienSolar sheet add a new vector and put in A12 = 4, B12 = 3, C12 = 0. Press XYZ, Put in other values and observe the changes in the coordinate system. </v>
      </c>
      <c r="AF82" t="str">
        <f>$AF$19</f>
        <v xml:space="preserve">Esta celda indica la posición inicial en el eje X del vector actual. Cuando se trabaja en modo CAMPO, el código automáticamente borra los datos de esta celda y los reemplaza por =A11, puesto que en A11 se recorrerán (en modo campo) todos los valores iniciales de las coordenadas en X de los vectores del campo. dados para un rango en la coordenada X. En esta celda el usuario puede introducir valores constantes así como funciones.Para ver como funciona, en una nueva hoja de ScienSolar agregue un nuevo vector y en A12 = 4, B12= 3, C12 = 0. Oprima XYZ, Ponga otros valores y observe los cambios en el sistema de coordenadas. </v>
      </c>
    </row>
    <row r="83" spans="27:32" x14ac:dyDescent="0.2">
      <c r="AA83" t="s">
        <v>231</v>
      </c>
      <c r="AB83" t="str">
        <f>HLOOKUP($Q$2,$AD$4:$AK$800,AD83)</f>
        <v>This cell is used by the code when working in FIELD MODE to cycle through all the coordinate values as variables. In other words, this cell is equivalent to the variable X when working with a function f(x). As an example of using this cell, see the ELECTRIC DIPOLE, CYLINDRICAL SYMMETRY and SPHERICAL SYMMETRY projects. For scalar fields, see the FUNCTIONS project.</v>
      </c>
      <c r="AD83">
        <v>80</v>
      </c>
      <c r="AE83" t="str">
        <f>$AE$20</f>
        <v>This cell is used by the code when working in FIELD MODE to cycle through all the coordinate values as variables. In other words, this cell is equivalent to the variable X when working with a function f(x). As an example of using this cell, see the ELECTRIC DIPOLE, CYLINDRICAL SYMMETRY and SPHERICAL SYMMETRY projects. For scalar fields, see the FUNCTIONS project.</v>
      </c>
      <c r="AF83" t="str">
        <f>$AF$20</f>
        <v>Esta celda es usada por el código cuando se trabaja en MODO CAMPO para recorrer todos los valores de las coordenadas como variables. Dicho de otra manera, esta celda equivale a la variable X cuando se trabaja con una función f(x). Como ejemplo de uso de esta celda ver los proyectos DIPOLO ELÉCTRICO, SIMETRÍA CILÍNDRICA y SIMETRÍA ESFÉRICA. Para campos escalares ver el proyecto FUNCIONES.</v>
      </c>
    </row>
    <row r="84" spans="27:32" x14ac:dyDescent="0.2">
      <c r="AA84" t="s">
        <v>234</v>
      </c>
      <c r="AB84" t="str">
        <f>HLOOKUP($Q$2,$AD$4:$AK$800,AD84)</f>
        <v>In this cell the value of the coordinate on the X axis of the vector is entered. When working in FIELD MODE, the function corresponding to the X axis of the vector field is entered here. As an example of use of this cell see the ELECTRICAL DIPOLE, CYLINDRICAL SYMMETRY and SPHERICAL SYMMETRY projects. For scalar fields see the FUNCTIONS project.</v>
      </c>
      <c r="AD84">
        <v>81</v>
      </c>
      <c r="AE84" t="str">
        <f>$AE$21</f>
        <v>In this cell the value of the coordinate on the X axis of the vector is entered. When working in FIELD MODE, the function corresponding to the X axis of the vector field is entered here. As an example of use of this cell see the ELECTRICAL DIPOLE, CYLINDRICAL SYMMETRY and SPHERICAL SYMMETRY projects. For scalar fields see the FUNCTIONS project.</v>
      </c>
      <c r="AF84" t="str">
        <f>$AF$21</f>
        <v>En esta celda se introduce el valor de la coordenada en el eje X del vector. Cuando se trabaja en MODO CAMPO, se introduce aquí la función correspondiente al eje X del campo vectorial. Como ejemplo de uso de esta celda ver los proyectos DIPOLO ELÉCTRICO, SIMETRÍA CILÍNDRICA y SIMETRÍA ESFÉRICA. Para campos escalares ver el proyecto FUNCIONES.</v>
      </c>
    </row>
    <row r="85" spans="27:32" x14ac:dyDescent="0.2">
      <c r="AA85" t="s">
        <v>237</v>
      </c>
      <c r="AB85" t="str">
        <f>HLOOKUP($Q$2,$AD$4:$AK$800,AD85)</f>
        <v>Vector tail. When using a conventional vector (183), the shape of the vector tail can be changed. Some shapes other than 183 can also obey this cell. The Allowed values are 1 to 6. Functions can also be introduced that change this value automatically.</v>
      </c>
      <c r="AD85">
        <v>82</v>
      </c>
      <c r="AE85" t="str">
        <f>$AE$22</f>
        <v>Vector tail. When using a conventional vector (183), the shape of the vector tail can be changed. Some shapes other than 183 can also obey this cell. The Allowed values are 1 to 6. Functions can also be introduced that change this value automatically.</v>
      </c>
      <c r="AF85" t="str">
        <f>$AF$22</f>
        <v>Cola del vector. Cuando se utiliza un vector convencional (183), se puede cambiar la forma de la cola del vector. Algunas otras formas diferentes a la 183 también pueden obedecer a esta celda. Los valores permitidos son del 1 al 6. También pueden introducirse funciones que cambien este valor automáticamente.</v>
      </c>
    </row>
    <row r="86" spans="27:32" x14ac:dyDescent="0.2">
      <c r="AA86" t="s">
        <v>240</v>
      </c>
      <c r="AB86" t="str">
        <f>HLOOKUP($Q$2,$AD$4:$AK$800,AD86)</f>
        <v>Vector head. When using a conventional vector (183), the shape of the vector head can be changed. Some shapes other than 183 can also obey this cell. The Allowed values are 1 to 6. Formulas can also be entered that change this value automatically.</v>
      </c>
      <c r="AD86">
        <v>83</v>
      </c>
      <c r="AE86" t="str">
        <f>$AE$23</f>
        <v>Vector head. When using a conventional vector (183), the shape of the vector head can be changed. Some shapes other than 183 can also obey this cell. The Allowed values are 1 to 6. Formulas can also be entered that change this value automatically.</v>
      </c>
      <c r="AF86" t="str">
        <f>$AF$23</f>
        <v>Cabeza del vector. Cuando se utiliza un vector convencional (183), se puede cambiar la forma de la cabeza del vector. Algunas otras formas diferentes a la 183 también pueden obedecer a esta celda. Los valores permitidos son del 1 al 6. También pueden introducirse funciones que cambien este valor automáticamente.</v>
      </c>
    </row>
    <row r="87" spans="27:32" x14ac:dyDescent="0.2">
      <c r="AA87" t="s">
        <v>243</v>
      </c>
      <c r="AB87" t="str">
        <f>HLOOKUP($Q$2,$AD$4:$AK$800,AD87)</f>
        <v>When a vector or object is loaded into the coordinate system, this cell indicates the number of the consecutive vector.BUTTON ON THE LEFT: is used to enable/disable the vector thickness and its history.BUTTON ON THE RIGHT is used to compress or expand the configuration cells of each vector.The first vector button will display or compress the settings for all vectors.BUTTON ON THE RIGHT WHEN THERE IS DATA is used to clean the data table.PROPERTIES: The value 0 in this cell does not put the vector in the coordinate system, although it does take into account the parameters and formulas found in its configuration, which is useful in some cases,for example when you do not want to display the vector or when the number of vectors is large and you want to reduce the execution time. The numbers in these cells must be consecutively ascending and must not be repeated.</v>
      </c>
      <c r="AD87">
        <v>84</v>
      </c>
      <c r="AE87" t="str">
        <f>$AE$15</f>
        <v>When a vector or object is loaded into the coordinate system, this cell indicates the number of the consecutive vector.BUTTON ON THE LEFT: is used to enable/disable the vector thickness and its history.BUTTON ON THE RIGHT is used to compress or expand the configuration cells of each vector.The first vector button will display or compress the settings for all vectors.BUTTON ON THE RIGHT WHEN THERE IS DATA is used to clean the data table.PROPERTIES: The value 0 in this cell does not put the vector in the coordinate system, although it does take into account the parameters and formulas found in its configuration, which is useful in some cases,for example when you do not want to display the vector or when the number of vectors is large and you want to reduce the execution time. The numbers in these cells must be consecutively ascending and must not be repeated.</v>
      </c>
      <c r="AF87" t="str">
        <f>$AF$15</f>
        <v>Cuando se carga un vector o un objeto al sistema de coordenadas, esta celda indica el número del vector consecutivo. BOTÓN DE LA IZQUIERDA: se utiliza para activar/desactivar el grosor del vector y su historia. BOTÓN DE LA DERECHA: se utiliza para comprimir o desplegar las celdas de configuración de cada vector. El botón del primer vector desplegará o comprimirá la configuración de todos los vectores.BOTÓN DE LA DERECHA  cuando hay DATOS: se utiliza para borrar la tabla de datos. PROPIEDADES: El valor 0 en esta celda no pone el vector en el sistema de coordenadas, aunque sí tiene en cuenta los parámetros y fórmulas que se encuentran en su configuración, lo cual tiene utilidad en algunos casos,por ejemplo cuando no se quiere visualizar el vector o cuando la cantidad de vectores es grande y se desea reducir el tiempode ejecución. Los números en estas celdas deben ser consecutivos ascendentes y no se deben repetir.</v>
      </c>
    </row>
    <row r="88" spans="27:32" x14ac:dyDescent="0.2">
      <c r="AA88" t="s">
        <v>246</v>
      </c>
      <c r="AB88" t="str">
        <f>HLOOKUP($Q$2,$AD$4:$AK$800,AD88)</f>
        <v>This cell is used by ScienSolar to indicate whether the vector configuration is unfolded or folded. A value of 0 indicates folded and a value of 1 displays. Do not modify the value of this cell.</v>
      </c>
      <c r="AD88">
        <v>85</v>
      </c>
      <c r="AE88" t="str">
        <f>$AE$16</f>
        <v>This cell is used by ScienSolar to indicate whether the vector configuration is unfolded or folded. A value of 0 indicates folded and a value of 1 displays. Do not modify the value of this cell.</v>
      </c>
      <c r="AF88" t="str">
        <f>$AF$16</f>
        <v xml:space="preserve">Celda utilizada por ScienSolar para indicar si la configuración del vector está desplegada o plegada. El valor 0 indica plegada y el valor 1 desplegada. No modifique el valor de esta celda. </v>
      </c>
    </row>
    <row r="89" spans="27:32" x14ac:dyDescent="0.2">
      <c r="AA89" t="s">
        <v>249</v>
      </c>
      <c r="AB89" t="str">
        <f>HLOOKUP($Q$2,$AD$4:$AK$800,AD89)</f>
        <v>The value indicated here represents the number of objects (vectors) cloned for the given vector. When the option of this vector is FIELD MODE the number is greater than 1, otherwise it is equal to 1. PROPERTIES: When you are working in field mode and the number of objects loaded on the sheet is very large, to delete them immediately, place a number greater than 5000 in this cell and press an update button. Otherwise, do not modify this cell.</v>
      </c>
      <c r="AD89">
        <v>86</v>
      </c>
      <c r="AE89" t="str">
        <f>$AE$17</f>
        <v>The value indicated here represents the number of objects (vectors) cloned for the given vector. When the option of this vector is FIELD MODE the number is greater than 1, otherwise it is equal to 1. PROPERTIES: When you are working in field mode and the number of objects loaded on the sheet is very large, to delete them immediately, place a number greater than 5000 in this cell and press an update button. Otherwise, do not modify this cell.</v>
      </c>
      <c r="AF89" t="str">
        <f>$AF$17</f>
        <v>El valor indicado aquí representa el número de objetos (vectores) clonados para el vector dado. Cuando la opción de este vector es MODO CAMPO el número es mayor que 1, de lo contrario es igual a 1. PROPIEDADES: Cuando se está trabajando en modo campo y la cantidad de objetos cargados a la hoja es muy grande, para borrarlos inmediatamente se coloca en esta celda un número mayor a 5000 y se oprime un botón de actualización. De otra manera no modifique esta celda.</v>
      </c>
    </row>
    <row r="90" spans="27:32" x14ac:dyDescent="0.2">
      <c r="AA90" t="s">
        <v>252</v>
      </c>
      <c r="AB90" t="str">
        <f>HLOOKUP($Q$2,$AD$4:$AK$800,AD90)</f>
        <v>This cell is free when the vector (183) is used. PROPERTIES: When a 3D object is loaded (200) this cell is used to enter the rotation angle of the object. As an example see vector number 2 of the 3D Model project (press Run on that project).</v>
      </c>
      <c r="AD90">
        <v>87</v>
      </c>
      <c r="AE90" t="str">
        <f>$AE$18</f>
        <v>This cell is free when the vector (183) is used. PROPERTIES: When a 3D object is loaded (200) this cell is used to enter the rotation angle of the object. As an example see vector number 2 of the 3D Model project (press Run on that project).</v>
      </c>
      <c r="AF90" t="str">
        <f>$AF$18</f>
        <v>Celda libre cuando se usa el vector (183). PROPIEDADES: Cuando se carga un objeto 3D (200) esta celda se usa para introducir el ángulo de rotación del objeto. Como ejemplo ver el vector número 2 del proyecto Modelo 3D (oprimir Ejecutar en ese proyecto).</v>
      </c>
    </row>
    <row r="91" spans="27:32" x14ac:dyDescent="0.2">
      <c r="AA91" t="s">
        <v>255</v>
      </c>
      <c r="AB91" t="str">
        <f>HLOOKUP($Q$2,$AD$4:$AK$800,AD91)</f>
        <v xml:space="preserve">This cell indicates the initial position on the X axis of the current vector. When working in FIELD mode, the code automatically deletes the data in this cell and replaces it with =A11, since in A11 all the initial values of the X coordinates of the field vectors given for a range in the X coordinate will be traversed (in field mode). In this cell the user can enter constant values as well as functions.To see how it works, in a new ScienSolar sheet add a new vector and put in A12 = 4, B12 = 3, C12 = 0. Press XYZ, Put in other values and observe the changes in the coordinate system. </v>
      </c>
      <c r="AD91">
        <v>88</v>
      </c>
      <c r="AE91" t="str">
        <f>$AE$19</f>
        <v xml:space="preserve">This cell indicates the initial position on the X axis of the current vector. When working in FIELD mode, the code automatically deletes the data in this cell and replaces it with =A11, since in A11 all the initial values of the X coordinates of the field vectors given for a range in the X coordinate will be traversed (in field mode). In this cell the user can enter constant values as well as functions.To see how it works, in a new ScienSolar sheet add a new vector and put in A12 = 4, B12 = 3, C12 = 0. Press XYZ, Put in other values and observe the changes in the coordinate system. </v>
      </c>
      <c r="AF91" t="str">
        <f>$AF$19</f>
        <v xml:space="preserve">Esta celda indica la posición inicial en el eje X del vector actual. Cuando se trabaja en modo CAMPO, el código automáticamente borra los datos de esta celda y los reemplaza por =A11, puesto que en A11 se recorrerán (en modo campo) todos los valores iniciales de las coordenadas en X de los vectores del campo. dados para un rango en la coordenada X. En esta celda el usuario puede introducir valores constantes así como funciones.Para ver como funciona, en una nueva hoja de ScienSolar agregue un nuevo vector y en A12 = 4, B12= 3, C12 = 0. Oprima XYZ, Ponga otros valores y observe los cambios en el sistema de coordenadas. </v>
      </c>
    </row>
    <row r="92" spans="27:32" x14ac:dyDescent="0.2">
      <c r="AA92" t="s">
        <v>258</v>
      </c>
      <c r="AB92" t="str">
        <f>HLOOKUP($Q$2,$AD$4:$AK$800,AD92)</f>
        <v>This cell is used by the code when working in FIELD MODE to cycle through all the coordinate values as variables. In other words, this cell is equivalent to the variable X when working with a function f(x). As an example of using this cell, see the ELECTRIC DIPOLE, CYLINDRICAL SYMMETRY and SPHERICAL SYMMETRY projects. For scalar fields, see the FUNCTIONS project.</v>
      </c>
      <c r="AD92">
        <v>89</v>
      </c>
      <c r="AE92" t="str">
        <f>$AE$20</f>
        <v>This cell is used by the code when working in FIELD MODE to cycle through all the coordinate values as variables. In other words, this cell is equivalent to the variable X when working with a function f(x). As an example of using this cell, see the ELECTRIC DIPOLE, CYLINDRICAL SYMMETRY and SPHERICAL SYMMETRY projects. For scalar fields, see the FUNCTIONS project.</v>
      </c>
      <c r="AF92" t="str">
        <f>$AF$20</f>
        <v>Esta celda es usada por el código cuando se trabaja en MODO CAMPO para recorrer todos los valores de las coordenadas como variables. Dicho de otra manera, esta celda equivale a la variable X cuando se trabaja con una función f(x). Como ejemplo de uso de esta celda ver los proyectos DIPOLO ELÉCTRICO, SIMETRÍA CILÍNDRICA y SIMETRÍA ESFÉRICA. Para campos escalares ver el proyecto FUNCIONES.</v>
      </c>
    </row>
    <row r="93" spans="27:32" x14ac:dyDescent="0.2">
      <c r="AA93" t="s">
        <v>261</v>
      </c>
      <c r="AB93" t="str">
        <f>HLOOKUP($Q$2,$AD$4:$AK$800,AD93)</f>
        <v>In this cell the value of the coordinate on the X axis of the vector is entered. When working in FIELD MODE, the function corresponding to the X axis of the vector field is entered here. As an example of use of this cell see the ELECTRICAL DIPOLE, CYLINDRICAL SYMMETRY and SPHERICAL SYMMETRY projects. For scalar fields see the FUNCTIONS project.</v>
      </c>
      <c r="AD93">
        <v>90</v>
      </c>
      <c r="AE93" t="str">
        <f>$AE$21</f>
        <v>In this cell the value of the coordinate on the X axis of the vector is entered. When working in FIELD MODE, the function corresponding to the X axis of the vector field is entered here. As an example of use of this cell see the ELECTRICAL DIPOLE, CYLINDRICAL SYMMETRY and SPHERICAL SYMMETRY projects. For scalar fields see the FUNCTIONS project.</v>
      </c>
      <c r="AF93" t="str">
        <f>$AF$21</f>
        <v>En esta celda se introduce el valor de la coordenada en el eje X del vector. Cuando se trabaja en MODO CAMPO, se introduce aquí la función correspondiente al eje X del campo vectorial. Como ejemplo de uso de esta celda ver los proyectos DIPOLO ELÉCTRICO, SIMETRÍA CILÍNDRICA y SIMETRÍA ESFÉRICA. Para campos escalares ver el proyecto FUNCIONES.</v>
      </c>
    </row>
    <row r="94" spans="27:32" x14ac:dyDescent="0.2">
      <c r="AA94" t="s">
        <v>264</v>
      </c>
      <c r="AB94" t="str">
        <f>HLOOKUP($Q$2,$AD$4:$AK$800,AD94)</f>
        <v>Vector tail. When using a conventional vector (183), the shape of the vector tail can be changed. Some shapes other than 183 can also obey this cell. The Allowed values are 1 to 6. Functions can also be introduced that change this value automatically.</v>
      </c>
      <c r="AD94">
        <v>91</v>
      </c>
      <c r="AE94" t="str">
        <f>$AE$22</f>
        <v>Vector tail. When using a conventional vector (183), the shape of the vector tail can be changed. Some shapes other than 183 can also obey this cell. The Allowed values are 1 to 6. Functions can also be introduced that change this value automatically.</v>
      </c>
      <c r="AF94" t="str">
        <f>$AF$22</f>
        <v>Cola del vector. Cuando se utiliza un vector convencional (183), se puede cambiar la forma de la cola del vector. Algunas otras formas diferentes a la 183 también pueden obedecer a esta celda. Los valores permitidos son del 1 al 6. También pueden introducirse funciones que cambien este valor automáticamente.</v>
      </c>
    </row>
    <row r="95" spans="27:32" x14ac:dyDescent="0.2">
      <c r="AA95" t="s">
        <v>267</v>
      </c>
      <c r="AB95" t="str">
        <f>HLOOKUP($Q$2,$AD$4:$AK$800,AD95)</f>
        <v>Vector head. When using a conventional vector (183), the shape of the vector head can be changed. Some shapes other than 183 can also obey this cell. The Allowed values are 1 to 6. Formulas can also be entered that change this value automatically.</v>
      </c>
      <c r="AD95">
        <v>92</v>
      </c>
      <c r="AE95" t="str">
        <f>$AE$23</f>
        <v>Vector head. When using a conventional vector (183), the shape of the vector head can be changed. Some shapes other than 183 can also obey this cell. The Allowed values are 1 to 6. Formulas can also be entered that change this value automatically.</v>
      </c>
      <c r="AF95" t="str">
        <f>$AF$23</f>
        <v>Cabeza del vector. Cuando se utiliza un vector convencional (183), se puede cambiar la forma de la cabeza del vector. Algunas otras formas diferentes a la 183 también pueden obedecer a esta celda. Los valores permitidos son del 1 al 6. También pueden introducirse funciones que cambien este valor automáticamente.</v>
      </c>
    </row>
    <row r="96" spans="27:32" x14ac:dyDescent="0.2">
      <c r="AA96" t="s">
        <v>270</v>
      </c>
      <c r="AB96" t="str">
        <f>HLOOKUP($Q$2,$AD$4:$AK$800,AD96)</f>
        <v>When a vector or object is loaded into the coordinate system, this cell indicates the number of the consecutive vector.BUTTON ON THE LEFT: is used to enable/disable the vector thickness and its history.BUTTON ON THE RIGHT is used to compress or expand the configuration cells of each vector.The first vector button will display or compress the settings for all vectors.BUTTON ON THE RIGHT WHEN THERE IS DATA is used to clean the data table.PROPERTIES: The value 0 in this cell does not put the vector in the coordinate system, although it does take into account the parameters and formulas found in its configuration, which is useful in some cases,for example when you do not want to display the vector or when the number of vectors is large and you want to reduce the execution time. The numbers in these cells must be consecutively ascending and must not be repeated.</v>
      </c>
      <c r="AD96">
        <v>93</v>
      </c>
      <c r="AE96" t="str">
        <f>$AE$15</f>
        <v>When a vector or object is loaded into the coordinate system, this cell indicates the number of the consecutive vector.BUTTON ON THE LEFT: is used to enable/disable the vector thickness and its history.BUTTON ON THE RIGHT is used to compress or expand the configuration cells of each vector.The first vector button will display or compress the settings for all vectors.BUTTON ON THE RIGHT WHEN THERE IS DATA is used to clean the data table.PROPERTIES: The value 0 in this cell does not put the vector in the coordinate system, although it does take into account the parameters and formulas found in its configuration, which is useful in some cases,for example when you do not want to display the vector or when the number of vectors is large and you want to reduce the execution time. The numbers in these cells must be consecutively ascending and must not be repeated.</v>
      </c>
      <c r="AF96" t="str">
        <f>$AF$15</f>
        <v>Cuando se carga un vector o un objeto al sistema de coordenadas, esta celda indica el número del vector consecutivo. BOTÓN DE LA IZQUIERDA: se utiliza para activar/desactivar el grosor del vector y su historia. BOTÓN DE LA DERECHA: se utiliza para comprimir o desplegar las celdas de configuración de cada vector. El botón del primer vector desplegará o comprimirá la configuración de todos los vectores.BOTÓN DE LA DERECHA  cuando hay DATOS: se utiliza para borrar la tabla de datos. PROPIEDADES: El valor 0 en esta celda no pone el vector en el sistema de coordenadas, aunque sí tiene en cuenta los parámetros y fórmulas que se encuentran en su configuración, lo cual tiene utilidad en algunos casos,por ejemplo cuando no se quiere visualizar el vector o cuando la cantidad de vectores es grande y se desea reducir el tiempode ejecución. Los números en estas celdas deben ser consecutivos ascendentes y no se deben repetir.</v>
      </c>
    </row>
    <row r="97" spans="27:32" x14ac:dyDescent="0.2">
      <c r="AA97" t="s">
        <v>273</v>
      </c>
      <c r="AB97" t="str">
        <f>HLOOKUP($Q$2,$AD$4:$AK$800,AD97)</f>
        <v>This cell is used by ScienSolar to indicate whether the vector configuration is unfolded or folded. A value of 0 indicates folded and a value of 1 displays. Do not modify the value of this cell.</v>
      </c>
      <c r="AD97">
        <v>94</v>
      </c>
      <c r="AE97" t="str">
        <f>$AE$16</f>
        <v>This cell is used by ScienSolar to indicate whether the vector configuration is unfolded or folded. A value of 0 indicates folded and a value of 1 displays. Do not modify the value of this cell.</v>
      </c>
      <c r="AF97" t="str">
        <f>$AF$16</f>
        <v xml:space="preserve">Celda utilizada por ScienSolar para indicar si la configuración del vector está desplegada o plegada. El valor 0 indica plegada y el valor 1 desplegada. No modifique el valor de esta celda. </v>
      </c>
    </row>
    <row r="98" spans="27:32" x14ac:dyDescent="0.2">
      <c r="AA98" t="s">
        <v>276</v>
      </c>
      <c r="AB98" t="str">
        <f>HLOOKUP($Q$2,$AD$4:$AK$800,AD98)</f>
        <v>The value indicated here represents the number of objects (vectors) cloned for the given vector. When the option of this vector is FIELD MODE the number is greater than 1, otherwise it is equal to 1. PROPERTIES: When you are working in field mode and the number of objects loaded on the sheet is very large, to delete them immediately, place a number greater than 5000 in this cell and press an update button. Otherwise, do not modify this cell.</v>
      </c>
      <c r="AD98">
        <v>95</v>
      </c>
      <c r="AE98" t="str">
        <f>$AE$17</f>
        <v>The value indicated here represents the number of objects (vectors) cloned for the given vector. When the option of this vector is FIELD MODE the number is greater than 1, otherwise it is equal to 1. PROPERTIES: When you are working in field mode and the number of objects loaded on the sheet is very large, to delete them immediately, place a number greater than 5000 in this cell and press an update button. Otherwise, do not modify this cell.</v>
      </c>
      <c r="AF98" t="str">
        <f>$AF$17</f>
        <v>El valor indicado aquí representa el número de objetos (vectores) clonados para el vector dado. Cuando la opción de este vector es MODO CAMPO el número es mayor que 1, de lo contrario es igual a 1. PROPIEDADES: Cuando se está trabajando en modo campo y la cantidad de objetos cargados a la hoja es muy grande, para borrarlos inmediatamente se coloca en esta celda un número mayor a 5000 y se oprime un botón de actualización. De otra manera no modifique esta celda.</v>
      </c>
    </row>
    <row r="99" spans="27:32" x14ac:dyDescent="0.2">
      <c r="AA99" t="s">
        <v>279</v>
      </c>
      <c r="AB99" t="str">
        <f>HLOOKUP($Q$2,$AD$4:$AK$800,AD99)</f>
        <v>This cell is free when the vector (183) is used. PROPERTIES: When a 3D object is loaded (200) this cell is used to enter the rotation angle of the object. As an example see vector number 2 of the 3D Model project (press Run on that project).</v>
      </c>
      <c r="AD99">
        <v>96</v>
      </c>
      <c r="AE99" t="str">
        <f>$AE$18</f>
        <v>This cell is free when the vector (183) is used. PROPERTIES: When a 3D object is loaded (200) this cell is used to enter the rotation angle of the object. As an example see vector number 2 of the 3D Model project (press Run on that project).</v>
      </c>
      <c r="AF99" t="str">
        <f>$AF$18</f>
        <v>Celda libre cuando se usa el vector (183). PROPIEDADES: Cuando se carga un objeto 3D (200) esta celda se usa para introducir el ángulo de rotación del objeto. Como ejemplo ver el vector número 2 del proyecto Modelo 3D (oprimir Ejecutar en ese proyecto).</v>
      </c>
    </row>
    <row r="100" spans="27:32" x14ac:dyDescent="0.2">
      <c r="AA100" t="s">
        <v>282</v>
      </c>
      <c r="AB100" t="str">
        <f>HLOOKUP($Q$2,$AD$4:$AK$800,AD100)</f>
        <v xml:space="preserve">This cell indicates the initial position on the X axis of the current vector. When working in FIELD mode, the code automatically deletes the data in this cell and replaces it with =A11, since in A11 all the initial values of the X coordinates of the field vectors given for a range in the X coordinate will be traversed (in field mode). In this cell the user can enter constant values as well as functions.To see how it works, in a new ScienSolar sheet add a new vector and put in A12 = 4, B12 = 3, C12 = 0. Press XYZ, Put in other values and observe the changes in the coordinate system. </v>
      </c>
      <c r="AD100">
        <v>97</v>
      </c>
      <c r="AE100" t="str">
        <f>$AE$19</f>
        <v xml:space="preserve">This cell indicates the initial position on the X axis of the current vector. When working in FIELD mode, the code automatically deletes the data in this cell and replaces it with =A11, since in A11 all the initial values of the X coordinates of the field vectors given for a range in the X coordinate will be traversed (in field mode). In this cell the user can enter constant values as well as functions.To see how it works, in a new ScienSolar sheet add a new vector and put in A12 = 4, B12 = 3, C12 = 0. Press XYZ, Put in other values and observe the changes in the coordinate system. </v>
      </c>
      <c r="AF100" t="str">
        <f>$AF$19</f>
        <v xml:space="preserve">Esta celda indica la posición inicial en el eje X del vector actual. Cuando se trabaja en modo CAMPO, el código automáticamente borra los datos de esta celda y los reemplaza por =A11, puesto que en A11 se recorrerán (en modo campo) todos los valores iniciales de las coordenadas en X de los vectores del campo. dados para un rango en la coordenada X. En esta celda el usuario puede introducir valores constantes así como funciones.Para ver como funciona, en una nueva hoja de ScienSolar agregue un nuevo vector y en A12 = 4, B12= 3, C12 = 0. Oprima XYZ, Ponga otros valores y observe los cambios en el sistema de coordenadas. </v>
      </c>
    </row>
    <row r="101" spans="27:32" x14ac:dyDescent="0.2">
      <c r="AA101" t="s">
        <v>285</v>
      </c>
      <c r="AB101" t="str">
        <f>HLOOKUP($Q$2,$AD$4:$AK$800,AD101)</f>
        <v>This cell is used by the code when working in FIELD MODE to cycle through all the coordinate values as variables. In other words, this cell is equivalent to the variable X when working with a function f(x). As an example of using this cell, see the ELECTRIC DIPOLE, CYLINDRICAL SYMMETRY and SPHERICAL SYMMETRY projects. For scalar fields, see the FUNCTIONS project.</v>
      </c>
      <c r="AD101">
        <v>98</v>
      </c>
      <c r="AE101" t="str">
        <f>$AE$20</f>
        <v>This cell is used by the code when working in FIELD MODE to cycle through all the coordinate values as variables. In other words, this cell is equivalent to the variable X when working with a function f(x). As an example of using this cell, see the ELECTRIC DIPOLE, CYLINDRICAL SYMMETRY and SPHERICAL SYMMETRY projects. For scalar fields, see the FUNCTIONS project.</v>
      </c>
      <c r="AF101" t="str">
        <f>$AF$20</f>
        <v>Esta celda es usada por el código cuando se trabaja en MODO CAMPO para recorrer todos los valores de las coordenadas como variables. Dicho de otra manera, esta celda equivale a la variable X cuando se trabaja con una función f(x). Como ejemplo de uso de esta celda ver los proyectos DIPOLO ELÉCTRICO, SIMETRÍA CILÍNDRICA y SIMETRÍA ESFÉRICA. Para campos escalares ver el proyecto FUNCIONES.</v>
      </c>
    </row>
    <row r="102" spans="27:32" x14ac:dyDescent="0.2">
      <c r="AA102" t="s">
        <v>288</v>
      </c>
      <c r="AB102" t="str">
        <f>HLOOKUP($Q$2,$AD$4:$AK$800,AD102)</f>
        <v>In this cell the value of the coordinate on the X axis of the vector is entered. When working in FIELD MODE, the function corresponding to the X axis of the vector field is entered here. As an example of use of this cell see the ELECTRICAL DIPOLE, CYLINDRICAL SYMMETRY and SPHERICAL SYMMETRY projects. For scalar fields see the FUNCTIONS project.</v>
      </c>
      <c r="AD102">
        <v>99</v>
      </c>
      <c r="AE102" t="str">
        <f>$AE$21</f>
        <v>In this cell the value of the coordinate on the X axis of the vector is entered. When working in FIELD MODE, the function corresponding to the X axis of the vector field is entered here. As an example of use of this cell see the ELECTRICAL DIPOLE, CYLINDRICAL SYMMETRY and SPHERICAL SYMMETRY projects. For scalar fields see the FUNCTIONS project.</v>
      </c>
      <c r="AF102" t="str">
        <f>$AF$21</f>
        <v>En esta celda se introduce el valor de la coordenada en el eje X del vector. Cuando se trabaja en MODO CAMPO, se introduce aquí la función correspondiente al eje X del campo vectorial. Como ejemplo de uso de esta celda ver los proyectos DIPOLO ELÉCTRICO, SIMETRÍA CILÍNDRICA y SIMETRÍA ESFÉRICA. Para campos escalares ver el proyecto FUNCIONES.</v>
      </c>
    </row>
    <row r="103" spans="27:32" x14ac:dyDescent="0.2">
      <c r="AA103" t="s">
        <v>291</v>
      </c>
      <c r="AB103" t="str">
        <f>HLOOKUP($Q$2,$AD$4:$AK$800,AD103)</f>
        <v>Vector tail. When using a conventional vector (183), the shape of the vector tail can be changed. Some shapes other than 183 can also obey this cell. The Allowed values are 1 to 6. Functions can also be introduced that change this value automatically.</v>
      </c>
      <c r="AD103">
        <v>100</v>
      </c>
      <c r="AE103" t="str">
        <f>$AE$22</f>
        <v>Vector tail. When using a conventional vector (183), the shape of the vector tail can be changed. Some shapes other than 183 can also obey this cell. The Allowed values are 1 to 6. Functions can also be introduced that change this value automatically.</v>
      </c>
      <c r="AF103" t="str">
        <f>$AF$22</f>
        <v>Cola del vector. Cuando se utiliza un vector convencional (183), se puede cambiar la forma de la cola del vector. Algunas otras formas diferentes a la 183 también pueden obedecer a esta celda. Los valores permitidos son del 1 al 6. También pueden introducirse funciones que cambien este valor automáticamente.</v>
      </c>
    </row>
    <row r="104" spans="27:32" x14ac:dyDescent="0.2">
      <c r="AA104" t="s">
        <v>294</v>
      </c>
      <c r="AB104" t="str">
        <f>HLOOKUP($Q$2,$AD$4:$AK$800,AD104)</f>
        <v>Vector head. When using a conventional vector (183), the shape of the vector head can be changed. Some shapes other than 183 can also obey this cell. The Allowed values are 1 to 6. Formulas can also be entered that change this value automatically.</v>
      </c>
      <c r="AD104">
        <v>101</v>
      </c>
      <c r="AE104" t="str">
        <f>$AE$23</f>
        <v>Vector head. When using a conventional vector (183), the shape of the vector head can be changed. Some shapes other than 183 can also obey this cell. The Allowed values are 1 to 6. Formulas can also be entered that change this value automatically.</v>
      </c>
      <c r="AF104" t="str">
        <f>$AF$23</f>
        <v>Cabeza del vector. Cuando se utiliza un vector convencional (183), se puede cambiar la forma de la cabeza del vector. Algunas otras formas diferentes a la 183 también pueden obedecer a esta celda. Los valores permitidos son del 1 al 6. También pueden introducirse funciones que cambien este valor automáticamente.</v>
      </c>
    </row>
    <row r="105" spans="27:32" x14ac:dyDescent="0.2">
      <c r="AA105" t="s">
        <v>297</v>
      </c>
      <c r="AB105" t="str">
        <f>HLOOKUP($Q$2,$AD$4:$AK$800,AD105)</f>
        <v>When a vector or object is loaded into the coordinate system, this cell indicates the number of the consecutive vector.BUTTON ON THE LEFT: is used to enable/disable the vector thickness and its history.BUTTON ON THE RIGHT is used to compress or expand the configuration cells of each vector.The first vector button will display or compress the settings for all vectors.BUTTON ON THE RIGHT WHEN THERE IS DATA is used to clean the data table.PROPERTIES: The value 0 in this cell does not put the vector in the coordinate system, although it does take into account the parameters and formulas found in its configuration, which is useful in some cases,for example when you do not want to display the vector or when the number of vectors is large and you want to reduce the execution time. The numbers in these cells must be consecutively ascending and must not be repeated.</v>
      </c>
      <c r="AD105">
        <v>102</v>
      </c>
      <c r="AE105" t="str">
        <f>$AE$15</f>
        <v>When a vector or object is loaded into the coordinate system, this cell indicates the number of the consecutive vector.BUTTON ON THE LEFT: is used to enable/disable the vector thickness and its history.BUTTON ON THE RIGHT is used to compress or expand the configuration cells of each vector.The first vector button will display or compress the settings for all vectors.BUTTON ON THE RIGHT WHEN THERE IS DATA is used to clean the data table.PROPERTIES: The value 0 in this cell does not put the vector in the coordinate system, although it does take into account the parameters and formulas found in its configuration, which is useful in some cases,for example when you do not want to display the vector or when the number of vectors is large and you want to reduce the execution time. The numbers in these cells must be consecutively ascending and must not be repeated.</v>
      </c>
      <c r="AF105" t="str">
        <f>$AF$15</f>
        <v>Cuando se carga un vector o un objeto al sistema de coordenadas, esta celda indica el número del vector consecutivo. BOTÓN DE LA IZQUIERDA: se utiliza para activar/desactivar el grosor del vector y su historia. BOTÓN DE LA DERECHA: se utiliza para comprimir o desplegar las celdas de configuración de cada vector. El botón del primer vector desplegará o comprimirá la configuración de todos los vectores.BOTÓN DE LA DERECHA  cuando hay DATOS: se utiliza para borrar la tabla de datos. PROPIEDADES: El valor 0 en esta celda no pone el vector en el sistema de coordenadas, aunque sí tiene en cuenta los parámetros y fórmulas que se encuentran en su configuración, lo cual tiene utilidad en algunos casos,por ejemplo cuando no se quiere visualizar el vector o cuando la cantidad de vectores es grande y se desea reducir el tiempode ejecución. Los números en estas celdas deben ser consecutivos ascendentes y no se deben repetir.</v>
      </c>
    </row>
    <row r="106" spans="27:32" x14ac:dyDescent="0.2">
      <c r="AA106" t="s">
        <v>300</v>
      </c>
      <c r="AB106" t="str">
        <f>HLOOKUP($Q$2,$AD$4:$AK$800,AD106)</f>
        <v>This cell is used by ScienSolar to indicate whether the vector configuration is unfolded or folded. A value of 0 indicates folded and a value of 1 displays. Do not modify the value of this cell.</v>
      </c>
      <c r="AD106">
        <v>103</v>
      </c>
      <c r="AE106" t="str">
        <f>$AE$16</f>
        <v>This cell is used by ScienSolar to indicate whether the vector configuration is unfolded or folded. A value of 0 indicates folded and a value of 1 displays. Do not modify the value of this cell.</v>
      </c>
      <c r="AF106" t="str">
        <f>$AF$16</f>
        <v xml:space="preserve">Celda utilizada por ScienSolar para indicar si la configuración del vector está desplegada o plegada. El valor 0 indica plegada y el valor 1 desplegada. No modifique el valor de esta celda. </v>
      </c>
    </row>
    <row r="107" spans="27:32" x14ac:dyDescent="0.2">
      <c r="AA107" t="s">
        <v>303</v>
      </c>
      <c r="AB107" t="str">
        <f>HLOOKUP($Q$2,$AD$4:$AK$800,AD107)</f>
        <v>The value indicated here represents the number of objects (vectors) cloned for the given vector. When the option of this vector is FIELD MODE the number is greater than 1, otherwise it is equal to 1. PROPERTIES: When you are working in field mode and the number of objects loaded on the sheet is very large, to delete them immediately, place a number greater than 5000 in this cell and press an update button. Otherwise, do not modify this cell.</v>
      </c>
      <c r="AD107">
        <v>104</v>
      </c>
      <c r="AE107" t="str">
        <f>$AE$17</f>
        <v>The value indicated here represents the number of objects (vectors) cloned for the given vector. When the option of this vector is FIELD MODE the number is greater than 1, otherwise it is equal to 1. PROPERTIES: When you are working in field mode and the number of objects loaded on the sheet is very large, to delete them immediately, place a number greater than 5000 in this cell and press an update button. Otherwise, do not modify this cell.</v>
      </c>
      <c r="AF107" t="str">
        <f>$AF$17</f>
        <v>El valor indicado aquí representa el número de objetos (vectores) clonados para el vector dado. Cuando la opción de este vector es MODO CAMPO el número es mayor que 1, de lo contrario es igual a 1. PROPIEDADES: Cuando se está trabajando en modo campo y la cantidad de objetos cargados a la hoja es muy grande, para borrarlos inmediatamente se coloca en esta celda un número mayor a 5000 y se oprime un botón de actualización. De otra manera no modifique esta celda.</v>
      </c>
    </row>
    <row r="108" spans="27:32" x14ac:dyDescent="0.2">
      <c r="AA108" t="s">
        <v>306</v>
      </c>
      <c r="AB108" t="str">
        <f>HLOOKUP($Q$2,$AD$4:$AK$800,AD108)</f>
        <v>This cell is free when the vector (183) is used. PROPERTIES: When a 3D object is loaded (200) this cell is used to enter the rotation angle of the object. As an example see vector number 2 of the 3D Model project (press Run on that project).</v>
      </c>
      <c r="AD108">
        <v>105</v>
      </c>
      <c r="AE108" t="str">
        <f>$AE$18</f>
        <v>This cell is free when the vector (183) is used. PROPERTIES: When a 3D object is loaded (200) this cell is used to enter the rotation angle of the object. As an example see vector number 2 of the 3D Model project (press Run on that project).</v>
      </c>
      <c r="AF108" t="str">
        <f>$AF$18</f>
        <v>Celda libre cuando se usa el vector (183). PROPIEDADES: Cuando se carga un objeto 3D (200) esta celda se usa para introducir el ángulo de rotación del objeto. Como ejemplo ver el vector número 2 del proyecto Modelo 3D (oprimir Ejecutar en ese proyecto).</v>
      </c>
    </row>
    <row r="109" spans="27:32" x14ac:dyDescent="0.2">
      <c r="AA109" t="s">
        <v>309</v>
      </c>
      <c r="AB109" t="str">
        <f>HLOOKUP($Q$2,$AD$4:$AK$800,AD109)</f>
        <v xml:space="preserve">This cell indicates the initial position on the X axis of the current vector. When working in FIELD mode, the code automatically deletes the data in this cell and replaces it with =A11, since in A11 all the initial values of the X coordinates of the field vectors given for a range in the X coordinate will be traversed (in field mode). In this cell the user can enter constant values as well as functions.To see how it works, in a new ScienSolar sheet add a new vector and put in A12 = 4, B12 = 3, C12 = 0. Press XYZ, Put in other values and observe the changes in the coordinate system. </v>
      </c>
      <c r="AD109">
        <v>106</v>
      </c>
      <c r="AE109" t="str">
        <f>$AE$19</f>
        <v xml:space="preserve">This cell indicates the initial position on the X axis of the current vector. When working in FIELD mode, the code automatically deletes the data in this cell and replaces it with =A11, since in A11 all the initial values of the X coordinates of the field vectors given for a range in the X coordinate will be traversed (in field mode). In this cell the user can enter constant values as well as functions.To see how it works, in a new ScienSolar sheet add a new vector and put in A12 = 4, B12 = 3, C12 = 0. Press XYZ, Put in other values and observe the changes in the coordinate system. </v>
      </c>
      <c r="AF109" t="str">
        <f>$AF$19</f>
        <v xml:space="preserve">Esta celda indica la posición inicial en el eje X del vector actual. Cuando se trabaja en modo CAMPO, el código automáticamente borra los datos de esta celda y los reemplaza por =A11, puesto que en A11 se recorrerán (en modo campo) todos los valores iniciales de las coordenadas en X de los vectores del campo. dados para un rango en la coordenada X. En esta celda el usuario puede introducir valores constantes así como funciones.Para ver como funciona, en una nueva hoja de ScienSolar agregue un nuevo vector y en A12 = 4, B12= 3, C12 = 0. Oprima XYZ, Ponga otros valores y observe los cambios en el sistema de coordenadas. </v>
      </c>
    </row>
    <row r="110" spans="27:32" x14ac:dyDescent="0.2">
      <c r="AA110" t="s">
        <v>312</v>
      </c>
      <c r="AB110" t="str">
        <f>HLOOKUP($Q$2,$AD$4:$AK$800,AD110)</f>
        <v>This cell is used by the code when working in FIELD MODE to cycle through all the coordinate values as variables. In other words, this cell is equivalent to the variable X when working with a function f(x). As an example of using this cell, see the ELECTRIC DIPOLE, CYLINDRICAL SYMMETRY and SPHERICAL SYMMETRY projects. For scalar fields, see the FUNCTIONS project.</v>
      </c>
      <c r="AD110">
        <v>107</v>
      </c>
      <c r="AE110" t="str">
        <f>$AE$20</f>
        <v>This cell is used by the code when working in FIELD MODE to cycle through all the coordinate values as variables. In other words, this cell is equivalent to the variable X when working with a function f(x). As an example of using this cell, see the ELECTRIC DIPOLE, CYLINDRICAL SYMMETRY and SPHERICAL SYMMETRY projects. For scalar fields, see the FUNCTIONS project.</v>
      </c>
      <c r="AF110" t="str">
        <f>$AF$20</f>
        <v>Esta celda es usada por el código cuando se trabaja en MODO CAMPO para recorrer todos los valores de las coordenadas como variables. Dicho de otra manera, esta celda equivale a la variable X cuando se trabaja con una función f(x). Como ejemplo de uso de esta celda ver los proyectos DIPOLO ELÉCTRICO, SIMETRÍA CILÍNDRICA y SIMETRÍA ESFÉRICA. Para campos escalares ver el proyecto FUNCIONES.</v>
      </c>
    </row>
    <row r="111" spans="27:32" x14ac:dyDescent="0.2">
      <c r="AA111" t="s">
        <v>315</v>
      </c>
      <c r="AB111" t="str">
        <f>HLOOKUP($Q$2,$AD$4:$AK$800,AD111)</f>
        <v>In this cell the value of the coordinate on the X axis of the vector is entered. When working in FIELD MODE, the function corresponding to the X axis of the vector field is entered here. As an example of use of this cell see the ELECTRICAL DIPOLE, CYLINDRICAL SYMMETRY and SPHERICAL SYMMETRY projects. For scalar fields see the FUNCTIONS project.</v>
      </c>
      <c r="AD111">
        <v>108</v>
      </c>
      <c r="AE111" t="str">
        <f>$AE$21</f>
        <v>In this cell the value of the coordinate on the X axis of the vector is entered. When working in FIELD MODE, the function corresponding to the X axis of the vector field is entered here. As an example of use of this cell see the ELECTRICAL DIPOLE, CYLINDRICAL SYMMETRY and SPHERICAL SYMMETRY projects. For scalar fields see the FUNCTIONS project.</v>
      </c>
      <c r="AF111" t="str">
        <f>$AF$21</f>
        <v>En esta celda se introduce el valor de la coordenada en el eje X del vector. Cuando se trabaja en MODO CAMPO, se introduce aquí la función correspondiente al eje X del campo vectorial. Como ejemplo de uso de esta celda ver los proyectos DIPOLO ELÉCTRICO, SIMETRÍA CILÍNDRICA y SIMETRÍA ESFÉRICA. Para campos escalares ver el proyecto FUNCIONES.</v>
      </c>
    </row>
    <row r="112" spans="27:32" x14ac:dyDescent="0.2">
      <c r="AA112" t="s">
        <v>318</v>
      </c>
      <c r="AB112" t="str">
        <f>HLOOKUP($Q$2,$AD$4:$AK$800,AD112)</f>
        <v>Vector tail. When using a conventional vector (183), the shape of the vector tail can be changed. Some shapes other than 183 can also obey this cell. The Allowed values are 1 to 6. Functions can also be introduced that change this value automatically.</v>
      </c>
      <c r="AD112">
        <v>109</v>
      </c>
      <c r="AE112" t="str">
        <f>$AE$22</f>
        <v>Vector tail. When using a conventional vector (183), the shape of the vector tail can be changed. Some shapes other than 183 can also obey this cell. The Allowed values are 1 to 6. Functions can also be introduced that change this value automatically.</v>
      </c>
      <c r="AF112" t="str">
        <f>$AF$22</f>
        <v>Cola del vector. Cuando se utiliza un vector convencional (183), se puede cambiar la forma de la cola del vector. Algunas otras formas diferentes a la 183 también pueden obedecer a esta celda. Los valores permitidos son del 1 al 6. También pueden introducirse funciones que cambien este valor automáticamente.</v>
      </c>
    </row>
    <row r="113" spans="27:32" x14ac:dyDescent="0.2">
      <c r="AA113" t="s">
        <v>321</v>
      </c>
      <c r="AB113" t="str">
        <f>HLOOKUP($Q$2,$AD$4:$AK$800,AD113)</f>
        <v>Vector head. When using a conventional vector (183), the shape of the vector head can be changed. Some shapes other than 183 can also obey this cell. The Allowed values are 1 to 6. Formulas can also be entered that change this value automatically.</v>
      </c>
      <c r="AD113">
        <v>110</v>
      </c>
      <c r="AE113" t="str">
        <f>$AE$23</f>
        <v>Vector head. When using a conventional vector (183), the shape of the vector head can be changed. Some shapes other than 183 can also obey this cell. The Allowed values are 1 to 6. Formulas can also be entered that change this value automatically.</v>
      </c>
      <c r="AF113" t="str">
        <f>$AF$23</f>
        <v>Cabeza del vector. Cuando se utiliza un vector convencional (183), se puede cambiar la forma de la cabeza del vector. Algunas otras formas diferentes a la 183 también pueden obedecer a esta celda. Los valores permitidos son del 1 al 6. También pueden introducirse funciones que cambien este valor automáticamente.</v>
      </c>
    </row>
    <row r="114" spans="27:32" x14ac:dyDescent="0.2">
      <c r="AA114" t="s">
        <v>13</v>
      </c>
      <c r="AB114" t="str">
        <f>HLOOKUP($Q$2,$AD$4:$AK$800,AD114)</f>
        <v>Free cell.</v>
      </c>
      <c r="AD114">
        <v>111</v>
      </c>
      <c r="AE114" t="s">
        <v>332</v>
      </c>
      <c r="AF114" t="s">
        <v>840</v>
      </c>
    </row>
    <row r="115" spans="27:32" x14ac:dyDescent="0.2">
      <c r="AA115" t="s">
        <v>16</v>
      </c>
      <c r="AB115" t="str">
        <f>HLOOKUP($Q$2,$AD$4:$AK$800,AD115)</f>
        <v>This cell is intended to indicate the number of objects you want to add or delete by pressing the respective button once. Enter an integer or leave blank.</v>
      </c>
      <c r="AD115">
        <v>112</v>
      </c>
      <c r="AE115" t="s">
        <v>852</v>
      </c>
      <c r="AF115" t="s">
        <v>841</v>
      </c>
    </row>
    <row r="116" spans="27:32" x14ac:dyDescent="0.2">
      <c r="AA116" t="s">
        <v>19</v>
      </c>
      <c r="AB116" t="str">
        <f>HLOOKUP($Q$2,$AD$4:$AK$800,AD116)</f>
        <v>In a particular project, packages of cells can be configured that represent more complex objects than a simple vector. Use these buttons to add or remove these objects from the model. Specify in this cell the row number at which the object will start. To see how this button and this cell work, go to the 3D PYRAMID project.</v>
      </c>
      <c r="AD116">
        <v>113</v>
      </c>
      <c r="AE116" t="s">
        <v>853</v>
      </c>
      <c r="AF116" t="s">
        <v>842</v>
      </c>
    </row>
    <row r="117" spans="27:32" x14ac:dyDescent="0.2">
      <c r="AA117" t="s">
        <v>22</v>
      </c>
      <c r="AB117" t="str">
        <f>HLOOKUP($Q$2,$AD$4:$AK$800,AD117)</f>
        <v>Free cell.</v>
      </c>
      <c r="AD117">
        <v>114</v>
      </c>
      <c r="AE117" t="s">
        <v>332</v>
      </c>
      <c r="AF117" t="s">
        <v>840</v>
      </c>
    </row>
    <row r="118" spans="27:32" x14ac:dyDescent="0.2">
      <c r="AA118" t="s">
        <v>25</v>
      </c>
      <c r="AB118" t="str">
        <f>HLOOKUP($Q$2,$AD$4:$AK$800,AD118)</f>
        <v>Free cell.</v>
      </c>
      <c r="AD118">
        <v>115</v>
      </c>
      <c r="AE118" t="s">
        <v>332</v>
      </c>
      <c r="AF118" t="s">
        <v>840</v>
      </c>
    </row>
    <row r="119" spans="27:32" x14ac:dyDescent="0.2">
      <c r="AA119" t="s">
        <v>28</v>
      </c>
      <c r="AB119" t="str">
        <f>HLOOKUP($Q$2,$AD$4:$AK$800,AD119)</f>
        <v>VECTOR LABEL. Enter here the vector label that will appear in the coordinate system next to the vector. PROPERTIES: If no value is entered, the vector will appear without a label in the system. You can also introduce variable label functions, see example in the QUADRUPOLE project for labels of the electric charges q1, q2, q3, q4.</v>
      </c>
      <c r="AD119">
        <v>116</v>
      </c>
      <c r="AE119" t="s">
        <v>854</v>
      </c>
      <c r="AF119" t="s">
        <v>843</v>
      </c>
    </row>
    <row r="120" spans="27:32" x14ac:dyDescent="0.2">
      <c r="AA120" t="s">
        <v>31</v>
      </c>
      <c r="AB120" t="str">
        <f>HLOOKUP($Q$2,$AD$4:$AK$800,AD120)</f>
        <v>TYPE OF SHAPE to be represented in the coordinate system. The shape that is pre-established for ScienSolar is code 183.This shape is created in ScienSolar so that it perfectly represents a vector. However, you can use other forms for other purposes, but it should be noted that for codes other than 183 the rotations do not work correctly. PROPERTIES: values from 1 to 183 are accepted, negative values freeze their dimensions and do not obey rotation. Value 183 for vectors. Value 146 for a point in space. Value 200 to load a 3D object from the 3DModels sheet, thereby indicating the name of the object in the vector label (see as an example vector 2 of the 3D MODEL project). To easily view all shapes do the following: press RESET, then +VECTOR and enter the following values: B7 =I5, I3=1, I4=200, E5=60 and press the button --&gt; to navigate through the different values of I5, that is, B7. The value B=-114 allows loading a text box with indicator of a cell, for example B=-114 (negative), B9=15 and C9=4 will place the text box indicator in the cell that is in row 15 and column 4.</v>
      </c>
      <c r="AD120">
        <v>117</v>
      </c>
      <c r="AE120" t="s">
        <v>855</v>
      </c>
      <c r="AF120" t="s">
        <v>844</v>
      </c>
    </row>
    <row r="121" spans="27:32" x14ac:dyDescent="0.2">
      <c r="AA121" t="s">
        <v>34</v>
      </c>
      <c r="AB121" t="str">
        <f>HLOOKUP($Q$2,$AD$4:$AK$800,AD121)</f>
        <v xml:space="preserve">VECTOR LINE TYPE_x000D_For a solid line, enter 1 and for different types of dotted lines, enter 2 to 12._x000D__x000D_CONTROL OF THE VECTOR SIZE IN THE COORDINATE SYSTEM_x000D_Change the size of the vectors by entering in the value of this cell an expression of the form 60*4, where instead of 60 any number greater than 15 is entered, thus indicating the percentage of the vector with respect to the size of the axes, and instead of 4 any number that indicates how sharply the field function changes. Use this setting especially in field mode to control that the size of the vectors does not exceed the size of the system coordinates, and the function of the field is controlled with the second number. For this function to be activated, the format 60*4 is required (the asterisk is mandatory, and without the equal sign). Remark: This function can change the actual appearance of the vectors. </v>
      </c>
      <c r="AD121">
        <v>118</v>
      </c>
      <c r="AE121" t="s">
        <v>856</v>
      </c>
      <c r="AF121" t="s">
        <v>845</v>
      </c>
    </row>
    <row r="122" spans="27:32" x14ac:dyDescent="0.2">
      <c r="AA122" t="s">
        <v>37</v>
      </c>
      <c r="AB122" t="str">
        <f>HLOOKUP($Q$2,$AD$4:$AK$800,AD122)</f>
        <v>Free cell for shape 183. For shape 200, the other rotation angle of the 3D object is entered here (see 3D MODEL project, vector2). For shape -114, the indicator position row.</v>
      </c>
      <c r="AD122">
        <v>119</v>
      </c>
      <c r="AE122" t="s">
        <v>857</v>
      </c>
      <c r="AF122" t="s">
        <v>846</v>
      </c>
    </row>
    <row r="123" spans="27:32" x14ac:dyDescent="0.2">
      <c r="AA123" t="s">
        <v>40</v>
      </c>
      <c r="AB123" t="str">
        <f>HLOOKUP($Q$2,$AD$4:$AK$800,AD123)</f>
        <v xml:space="preserve">This cell indicates the initial position on the Y axis of the current vector. When working in FIELD mode, the code automatically deletes the data in this cell and replaces it with =B11, since in B11 all the initial values of the Y coordinates of the given field vectors will be traversed (in field mode) for a range in the Y coordinate. In this cell the user can enter constant values as well as functions.To see how it works, in a new ScienSolar sheet add a new vector and put in A12 = 4, B12 = 3, C12 = 0. Press XYZ, Put in other values and observe the changes in the coordinate system. </v>
      </c>
      <c r="AD123">
        <v>120</v>
      </c>
      <c r="AE123" t="s">
        <v>858</v>
      </c>
      <c r="AF123" t="s">
        <v>847</v>
      </c>
    </row>
    <row r="124" spans="27:32" x14ac:dyDescent="0.2">
      <c r="AA124" t="s">
        <v>43</v>
      </c>
      <c r="AB124" t="str">
        <f>HLOOKUP($Q$2,$AD$4:$AK$800,AD124)</f>
        <v>This cell is used by the code when working in FIELD MODE to cycle through all coordinate values as variables. In other words, this cell is equivalent to the Y variable when working with a function f(y). As an example of using this cell, see the ELECTRIC DIPOLE, CYLINDRICAL SYMMETRY and SPHERICAL SYMMETRY projects. For scalar fields, see the FUNCTIONS project.</v>
      </c>
      <c r="AD124">
        <v>121</v>
      </c>
      <c r="AE124" t="s">
        <v>859</v>
      </c>
      <c r="AF124" t="s">
        <v>848</v>
      </c>
    </row>
    <row r="125" spans="27:32" x14ac:dyDescent="0.2">
      <c r="AA125" t="s">
        <v>46</v>
      </c>
      <c r="AB125" t="str">
        <f>HLOOKUP($Q$2,$AD$4:$AK$800,AD125)</f>
        <v>In this cell the value of the coordinate on the Y axis of the vector is entered. When working in FIELD MODE, the function corresponding to the Y axis of the vector field is entered here. As an example of use of this cell see the ELECTRICAL DIPOLE, CYLINDRICAL SYMMETRY and SPHERICAL SYMMETRY projects. For scalar fields see the FUNCTIONS project.</v>
      </c>
      <c r="AD125">
        <v>122</v>
      </c>
      <c r="AE125" t="s">
        <v>860</v>
      </c>
      <c r="AF125" t="s">
        <v>849</v>
      </c>
    </row>
    <row r="126" spans="27:32" x14ac:dyDescent="0.2">
      <c r="AA126" t="s">
        <v>49</v>
      </c>
      <c r="AB126" t="str">
        <f>HLOOKUP($Q$2,$AD$4:$AK$800,AD126)</f>
        <v>ROW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B40=30, B41=10, D41=a and E41=b; press Run. A table with the simulation data will appear from the indicated cell. The table can be deleted simply by pressing the BUTTON IN COLUMN A of this vector. The value 0 for this cell disables this function. Only positive numerical values are accepted. The data can be used for other studies in Excel or other data analysis programs.</v>
      </c>
      <c r="AD126">
        <v>123</v>
      </c>
      <c r="AE126" t="s">
        <v>861</v>
      </c>
      <c r="AF126" t="s">
        <v>850</v>
      </c>
    </row>
    <row r="127" spans="27:32" x14ac:dyDescent="0.2">
      <c r="AA127" t="s">
        <v>52</v>
      </c>
      <c r="AB127" t="str">
        <f>HLOOKUP($Q$2,$AD$4:$AK$800,AD127)</f>
        <v>COLUMN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B40=25, B41=10, D41=a and E41=b; press Run. A table with the simulation data will appear from the indicated cell. The table HEcan be deleted simply by by pressing the BUTTON IN COLUMN A of this vector. The value 0 for this cell disables this function. Only positive numerical values are accepted. The data can be used for other studies in Excel or other data analysis programs.</v>
      </c>
      <c r="AD127">
        <v>124</v>
      </c>
      <c r="AE127" t="s">
        <v>862</v>
      </c>
      <c r="AF127" t="s">
        <v>851</v>
      </c>
    </row>
    <row r="128" spans="27:32" x14ac:dyDescent="0.2">
      <c r="AA128" t="s">
        <v>55</v>
      </c>
      <c r="AB128" t="str">
        <f>HLOOKUP($Q$2,$AD$4:$AK$800,AD128)</f>
        <v>VECTOR LABEL. Enter here the vector label that will appear in the coordinate system next to the vector. PROPERTIES: If no value is entered, the vector will appear without a label in the system. You can also introduce variable label functions, see example in the QUADRUPOLE project for labels of the electric charges q1, q2, q3, q4.</v>
      </c>
      <c r="AD128">
        <v>125</v>
      </c>
      <c r="AE128" t="str">
        <f>$AE$119</f>
        <v>VECTOR LABEL. Enter here the vector label that will appear in the coordinate system next to the vector. PROPERTIES: If no value is entered, the vector will appear without a label in the system. You can also introduce variable label functions, see example in the QUADRUPOLE project for labels of the electric charges q1, q2, q3, q4.</v>
      </c>
      <c r="AF128" t="str">
        <f>$AF$119</f>
        <v>ETIQUETA DEL VECTOR. Ingrese aquí la etiqueta del vector que aparecerá en el sistema de coordenadas al lado del vector. PROPIEDADES: Si no se introduce ningún valor, el vector aparecerá sin etiqueta en el sistema de coordenadas. También se pueden introducir funciones de etiquetas variables, ver ejemplo en el proyecto CUADRUPOLO para etiquetas de las cargas q1, q2, q3, q4.</v>
      </c>
    </row>
    <row r="129" spans="27:32" x14ac:dyDescent="0.2">
      <c r="AA129" t="s">
        <v>58</v>
      </c>
      <c r="AB129" t="str">
        <f>HLOOKUP($Q$2,$AD$4:$AK$800,AD129)</f>
        <v>TYPE OF SHAPE to be represented in the coordinate system. The shape that is pre-established for ScienSolar is code 183.This shape is created in ScienSolar so that it perfectly represents a vector. However, you can use other forms for other purposes, but it should be noted that for codes other than 183 the rotations do not work correctly. PROPERTIES: values from 1 to 183 are accepted, negative values freeze their dimensions and do not obey rotation. Value 183 for vectors. Value 146 for a point in space. Value 200 to load a 3D object from the 3DModels sheet, thereby indicating the name of the object in the vector label (see as an example vector 2 of the 3D MODEL project). To easily view all shapes do the following: press RESET, then +VECTOR and enter the following values: B7 =I5, I3=1, I4=200, E5=60 and press the button --&gt; to navigate through the different values of I5, that is, B7. The value B=-114 allows loading a text box with indicator of a cell, for example B=-114 (negative), B9=15 and C9=4 will place the text box indicator in the cell that is in row 15 and column 4.</v>
      </c>
      <c r="AD129">
        <v>126</v>
      </c>
      <c r="AE129" t="str">
        <f>$AE$120</f>
        <v>TYPE OF SHAPE to be represented in the coordinate system. The shape that is pre-established for ScienSolar is code 183.This shape is created in ScienSolar so that it perfectly represents a vector. However, you can use other forms for other purposes, but it should be noted that for codes other than 183 the rotations do not work correctly. PROPERTIES: values from 1 to 183 are accepted, negative values freeze their dimensions and do not obey rotation. Value 183 for vectors. Value 146 for a point in space. Value 200 to load a 3D object from the 3DModels sheet, thereby indicating the name of the object in the vector label (see as an example vector 2 of the 3D MODEL project). To easily view all shapes do the following: press RESET, then +VECTOR and enter the following values: B7 =I5, I3=1, I4=200, E5=60 and press the button --&gt; to navigate through the different values of I5, that is, B7. The value B=-114 allows loading a text box with indicator of a cell, for example B=-114 (negative), B9=15 and C9=4 will place the text box indicator in the cell that is in row 15 and column 4.</v>
      </c>
      <c r="AF129" t="str">
        <f>$AF$120</f>
        <v>TIPO DE FORMA a representar en el sistema de coordenadas. La forma típica para ScienSolar es la de código 183. Esta forma está elaborada en ScienSolar para que represente perfectamente a un vector. Sin embargo se pueden utilizar otras formas para otros fines, pero cabe resaltar que para otros códigos diferentes a 183 las rotaciones  no funcionan correctamente. PROPIEDADES: se aceptan valores desde 1 hasta 183, los valores negativos congelan sus dimensiones y no obedecen a la rotación.  Valor 183 para vectores. Valor 146 para un punto en el espacio. Valor 200 para cargar un objeto 3D de la hoja 3DModels, con ello indicando en la etiqueta del vector el nombre del objeto (ver como ejemplo el vector 2 del proyecto MODELO 3D). Para visualizar  fácilmente todas las formas haga lo siguiente: oprima RESET (RESTABLECER), luego +VECTOR e introduzca los siguientes valores:  B7 =I5,  I3=1, I4=200, E5=60 y oprima el botón --&gt; para navegar por los diferentes valores de I5, es decir de B7.  El valor B=-114  permite cargar un cuadro de texto con indicador de una celda, por ejemplo B=-114 (negativo), B9=15 y C9=4 ubicará el indicador en la celda que está en la fila 15 y la columna 4.</v>
      </c>
    </row>
    <row r="130" spans="27:32" x14ac:dyDescent="0.2">
      <c r="AA130" t="s">
        <v>61</v>
      </c>
      <c r="AB130" t="str">
        <f>HLOOKUP($Q$2,$AD$4:$AK$800,AD130)</f>
        <v xml:space="preserve">VECTOR LINE TYPE_x000D_For a solid line, enter 1 and for different types of dotted lines, enter 2 to 12._x000D__x000D_CONTROL OF THE VECTOR SIZE IN THE COORDINATE SYSTEM_x000D_Change the size of the vectors by entering in the value of this cell an expression of the form 60*4, where instead of 60 any number greater than 15 is entered, thus indicating the percentage of the vector with respect to the size of the axes, and instead of 4 any number that indicates how sharply the field function changes. Use this setting especially in field mode to control that the size of the vectors does not exceed the size of the system coordinates, and the function of the field is controlled with the second number. For this function to be activated, the format 60*4 is required (the asterisk is mandatory, and without the equal sign). Remark: This function can change the actual appearance of the vectors. </v>
      </c>
      <c r="AD130">
        <v>127</v>
      </c>
      <c r="AE130" t="str">
        <f>$AE$121</f>
        <v xml:space="preserve">VECTOR LINE TYPE_x000D_For a solid line, enter 1 and for different types of dotted lines, enter 2 to 12._x000D__x000D_CONTROL OF THE VECTOR SIZE IN THE COORDINATE SYSTEM_x000D_Change the size of the vectors by entering in the value of this cell an expression of the form 60*4, where instead of 60 any number greater than 15 is entered, thus indicating the percentage of the vector with respect to the size of the axes, and instead of 4 any number that indicates how sharply the field function changes. Use this setting especially in field mode to control that the size of the vectors does not exceed the size of the system coordinates, and the function of the field is controlled with the second number. For this function to be activated, the format 60*4 is required (the asterisk is mandatory, and without the equal sign). Remark: This function can change the actual appearance of the vectors. </v>
      </c>
      <c r="AF130" t="str">
        <f>$AF$121</f>
        <v xml:space="preserve">TIPO DE LÍNEA DEL VECTOR_x000D_Para línea continua se introduce 1 y para diferentes tipos de línea punteada del 2 al 12._x000D__x000D_CONTROL DEL TAMAÑO DEL VECTOR EN EL SISTEMA DE COORDENADAS_x000D_Si el valor de esta celda es de la forma 60*4, en donde en lugar de 60 se introduce cualquier número  mayor que 15, se indica con esto el porcentaje del vector con respecto al tamaño de los ejes, y en lugar de 4 cualquier número  que indica el grado de agudeza con que la función del campo cambia. Utilice esta configuración especialmente en modo campo para controlar que el tamaño de los vectores no sobrepase el tamaño del sistema de coordenadas, y la función campo adquiera suavidad. Controle esta suavidad con el segundo número. Para que esta función se active es necesario el formato 60*4 (el asterisco es obligatorio, y sin el signo igual). Nota: esta función puede cambiar la apariencia real de los vectores. </v>
      </c>
    </row>
    <row r="131" spans="27:32" x14ac:dyDescent="0.2">
      <c r="AA131" t="s">
        <v>64</v>
      </c>
      <c r="AB131" t="str">
        <f>HLOOKUP($Q$2,$AD$4:$AK$800,AD131)</f>
        <v>Free cell for shape 183. For shape 200, the other rotation angle of the 3D object is entered here (see 3D MODEL project, vector2). For shape -114, the indicator position row.</v>
      </c>
      <c r="AD131">
        <v>128</v>
      </c>
      <c r="AE131" t="str">
        <f>$AE$122</f>
        <v>Free cell for shape 183. For shape 200, the other rotation angle of the 3D object is entered here (see 3D MODEL project, vector2). For shape -114, the indicator position row.</v>
      </c>
      <c r="AF131" t="str">
        <f>$AF$122</f>
        <v>Celda libre para la forma 183. Para la forma 200 se introduce aquí el otro ángulo de rotación del objeto 3D (ver proyecto MODELO 3D, vector2). Para la forma -114 se introduce aquí la fila de posición del indicador.</v>
      </c>
    </row>
    <row r="132" spans="27:32" x14ac:dyDescent="0.2">
      <c r="AA132" t="s">
        <v>67</v>
      </c>
      <c r="AB132" t="str">
        <f>HLOOKUP($Q$2,$AD$4:$AK$800,AD132)</f>
        <v xml:space="preserve">This cell indicates the initial position on the Y axis of the current vector. When working in FIELD mode, the code automatically deletes the data in this cell and replaces it with =B11, since in B11 all the initial values of the Y coordinates of the given field vectors will be traversed (in field mode) for a range in the Y coordinate. In this cell the user can enter constant values as well as functions.To see how it works, in a new ScienSolar sheet add a new vector and put in A12 = 4, B12 = 3, C12 = 0. Press XYZ, Put in other values and observe the changes in the coordinate system. </v>
      </c>
      <c r="AD132">
        <v>129</v>
      </c>
      <c r="AE132" t="str">
        <f>$AE$123</f>
        <v xml:space="preserve">This cell indicates the initial position on the Y axis of the current vector. When working in FIELD mode, the code automatically deletes the data in this cell and replaces it with =B11, since in B11 all the initial values of the Y coordinates of the given field vectors will be traversed (in field mode) for a range in the Y coordinate. In this cell the user can enter constant values as well as functions.To see how it works, in a new ScienSolar sheet add a new vector and put in A12 = 4, B12 = 3, C12 = 0. Press XYZ, Put in other values and observe the changes in the coordinate system. </v>
      </c>
      <c r="AF132" t="str">
        <f>$AF$123</f>
        <v xml:space="preserve">Esta celda indica la posición inicial en el eje Y del vector actual. Cuando se trabaja en modo CAMPO, el código automáticamente borra los datos de esta celda y los reemplaza por =B11, puesto que en B11 se recorrerán (en modo campo) todos los valores iniciales de las coordenadas en Y de los vectores del campo dados para un rango en la coordenada Y. En esta celda el usuario puede introducir valores constantes así como funciones.Para ver como funciona, en una nueva hoja de ScienSolar agregue un nuevo vector y en A12 = 4, B12= 3, C12 = 0. Oprima XYZ, Ponga otros valores y observe los cambios en el sistema de coordenadas. </v>
      </c>
    </row>
    <row r="133" spans="27:32" x14ac:dyDescent="0.2">
      <c r="AA133" t="s">
        <v>70</v>
      </c>
      <c r="AB133" t="str">
        <f>HLOOKUP($Q$2,$AD$4:$AK$800,AD133)</f>
        <v>This cell is used by the code when working in FIELD MODE to cycle through all coordinate values as variables. In other words, this cell is equivalent to the Y variable when working with a function f(y). As an example of using this cell, see the ELECTRIC DIPOLE, CYLINDRICAL SYMMETRY and SPHERICAL SYMMETRY projects. For scalar fields, see the FUNCTIONS project.</v>
      </c>
      <c r="AD133">
        <v>130</v>
      </c>
      <c r="AE133" t="str">
        <f>$AE$124</f>
        <v>This cell is used by the code when working in FIELD MODE to cycle through all coordinate values as variables. In other words, this cell is equivalent to the Y variable when working with a function f(y). As an example of using this cell, see the ELECTRIC DIPOLE, CYLINDRICAL SYMMETRY and SPHERICAL SYMMETRY projects. For scalar fields, see the FUNCTIONS project.</v>
      </c>
      <c r="AF133" t="str">
        <f>$AF$124</f>
        <v>Esta celda es usada por el código cuando se trabaja en MODO CAMPO para recorrer todos los valores de las coordenadas como variables. Dicho de otra manera, esta celda equivale a la variable y cuando se trabaja con una función f(y). Como ejemplo de uso de esta celda ver los proyectos DIPOLO ELÉCTRICO, SIMETRÍA CILÍNDRICA y SIMETRÍA ESFÉRICA. Para campos escalares ver el proyecto FUNCIONES.</v>
      </c>
    </row>
    <row r="134" spans="27:32" x14ac:dyDescent="0.2">
      <c r="AA134" t="s">
        <v>73</v>
      </c>
      <c r="AB134" t="str">
        <f>HLOOKUP($Q$2,$AD$4:$AK$800,AD134)</f>
        <v>In this cell the value of the coordinate on the Y axis of the vector is entered. When working in FIELD MODE, the function corresponding to the Y axis of the vector field is entered here. As an example of use of this cell see the ELECTRICAL DIPOLE, CYLINDRICAL SYMMETRY and SPHERICAL SYMMETRY projects. For scalar fields see the FUNCTIONS project.</v>
      </c>
      <c r="AD134">
        <v>131</v>
      </c>
      <c r="AE134" t="str">
        <f>$AE$125</f>
        <v>In this cell the value of the coordinate on the Y axis of the vector is entered. When working in FIELD MODE, the function corresponding to the Y axis of the vector field is entered here. As an example of use of this cell see the ELECTRICAL DIPOLE, CYLINDRICAL SYMMETRY and SPHERICAL SYMMETRY projects. For scalar fields see the FUNCTIONS project.</v>
      </c>
      <c r="AF134" t="str">
        <f>$AF$125</f>
        <v>En esta celda se introduce el valor de la coordenada en el eje Y del vector. Cuando se trabaja en MODO CAMPO, se introduce aquí la función correspondiente al eje Y del campo vectorial. Como ejemplo de uso de esta celda ver los proyectos DIPOLO ELÉCTRICO, SIMETRÍA CILÍNDRICA y SIMETRÍA ESFÉRICA. Para campos escalares ver el proyecto FUNCIONES.</v>
      </c>
    </row>
    <row r="135" spans="27:32" x14ac:dyDescent="0.2">
      <c r="AA135" t="s">
        <v>76</v>
      </c>
      <c r="AB135" t="str">
        <f>HLOOKUP($Q$2,$AD$4:$AK$800,AD135)</f>
        <v>ROW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B40=30, B41=10, D41=a and E41=b; press Run. A table with the simulation data will appear from the indicated cell. The table can be deleted simply by pressing the BUTTON IN COLUMN A of this vector. The value 0 for this cell disables this function. Only positive numerical values are accepted. The data can be used for other studies in Excel or other data analysis programs.</v>
      </c>
      <c r="AD135">
        <v>132</v>
      </c>
      <c r="AE135" t="str">
        <f>$AE$126</f>
        <v>ROW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B40=30, B41=10, D41=a and E41=b; press Run. A table with the simulation data will appear from the indicated cell. The table can be deleted simply by pressing the BUTTON IN COLUMN A of this vector. The value 0 for this cell disables this function. Only positive numerical values are accepted. The data can be used for other studies in Excel or other data analysis programs.</v>
      </c>
      <c r="AF135" t="str">
        <f>$AF$126</f>
        <v xml:space="preserve">NÚMERO DE FILA para el inicio de una tabla de salida de datos durante la ejecución de un modelo. El número de columnas que tendrá la tabla es 9 con las coordenadas iniciales, finales y dos celdas más para fórmulas adicionales. El número de filas depende de la resolución de toma de datos del problema en particular. Para ver cómo funciona esta celda oprima New Sheet (Nueva hoja) seleccione el proyecto MOVIMIENTO PARABÓLICO de la lista y oprima +VECTOR, luego, para el vector velocidad coloque B40=30, B41=10, D41=a y E41=b; oprima Ejecutar (Run). Aparecerá, a partir de la celda indicada, una tabla con los datos de la simulación. La tabla sepuede borrar simplemente OPRIMIENO EL BOTÓN EN LA COLUMNA A DE ESTE VECTOR. En lugar de las letras a y b se pueden introducir otras funciones. El valor 0 para esta celda deshabilita esta función. Solo se aceptan valores numéricos positivos. Los datos pueden ser usados para otros estudios en Excel u otros programas de análisis de datos. </v>
      </c>
    </row>
    <row r="136" spans="27:32" x14ac:dyDescent="0.2">
      <c r="AA136" t="s">
        <v>79</v>
      </c>
      <c r="AB136" t="str">
        <f>HLOOKUP($Q$2,$AD$4:$AK$800,AD136)</f>
        <v>COLUMN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B40=25, B41=10, D41=a and E41=b; press Run. A table with the simulation data will appear from the indicated cell. The table HEcan be deleted simply by by pressing the BUTTON IN COLUMN A of this vector. The value 0 for this cell disables this function. Only positive numerical values are accepted. The data can be used for other studies in Excel or other data analysis programs.</v>
      </c>
      <c r="AD136">
        <v>133</v>
      </c>
      <c r="AE136" t="str">
        <f>$AE$127</f>
        <v>COLUMN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B40=25, B41=10, D41=a and E41=b; press Run. A table with the simulation data will appear from the indicated cell. The table HEcan be deleted simply by by pressing the BUTTON IN COLUMN A of this vector. The value 0 for this cell disables this function. Only positive numerical values are accepted. The data can be used for other studies in Excel or other data analysis programs.</v>
      </c>
      <c r="AF136" t="str">
        <f>$AF$127</f>
        <v xml:space="preserve">NÚMERO DE COLUMNA para el inicio de una tabla de salida de datos durante la ejecución de un modelo. El número de columnas que tendrá la tabla es 9 con las coordenadas iniciales, finales y dos celdas más para fórmulas adicionales. El número de filas depende de la resolución de toma de datos del problema en particular. Para ver cómo funciona esta celda oprima New Sheet (Nueva hoja) seleccione el proyecto MOVIMIENTO PARABÓLICO de la lista y oprima +VECTOR, luego, para el vector velocidad coloque B40=25, B41=7, D41=a y E41=b; oprima Ejecutar (Run). Aparecerá, a partir de la celda indicada, una tabla con los datos de la simulación. La tabla sepuede borrar simplemente OPRIMIENO EL BOTÓN EN LA COLUMNA A DE ESTE VECTOR. En lugar de las letras a y b se pueden introducir otras funciones. El valor 0 para esta celda deshabilita esta función. Solo se aceptan valores numéricos positivos. Los datos pueden ser usados para otros estudios en Excel u otros programas de análisis de datos. </v>
      </c>
    </row>
    <row r="137" spans="27:32" x14ac:dyDescent="0.2">
      <c r="AA137" t="s">
        <v>82</v>
      </c>
      <c r="AB137" t="str">
        <f>HLOOKUP($Q$2,$AD$4:$AK$800,AD137)</f>
        <v>VECTOR LABEL. Enter here the vector label that will appear in the coordinate system next to the vector. PROPERTIES: If no value is entered, the vector will appear without a label in the system. You can also introduce variable label functions, see example in the QUADRUPOLE project for labels of the electric charges q1, q2, q3, q4.</v>
      </c>
      <c r="AD137">
        <v>134</v>
      </c>
      <c r="AE137" t="str">
        <f>$AE$119</f>
        <v>VECTOR LABEL. Enter here the vector label that will appear in the coordinate system next to the vector. PROPERTIES: If no value is entered, the vector will appear without a label in the system. You can also introduce variable label functions, see example in the QUADRUPOLE project for labels of the electric charges q1, q2, q3, q4.</v>
      </c>
      <c r="AF137" t="str">
        <f>$AF$119</f>
        <v>ETIQUETA DEL VECTOR. Ingrese aquí la etiqueta del vector que aparecerá en el sistema de coordenadas al lado del vector. PROPIEDADES: Si no se introduce ningún valor, el vector aparecerá sin etiqueta en el sistema de coordenadas. También se pueden introducir funciones de etiquetas variables, ver ejemplo en el proyecto CUADRUPOLO para etiquetas de las cargas q1, q2, q3, q4.</v>
      </c>
    </row>
    <row r="138" spans="27:32" x14ac:dyDescent="0.2">
      <c r="AA138" t="s">
        <v>85</v>
      </c>
      <c r="AB138" t="str">
        <f>HLOOKUP($Q$2,$AD$4:$AK$800,AD138)</f>
        <v>TYPE OF SHAPE to be represented in the coordinate system. The shape that is pre-established for ScienSolar is code 183.This shape is created in ScienSolar so that it perfectly represents a vector. However, you can use other forms for other purposes, but it should be noted that for codes other than 183 the rotations do not work correctly. PROPERTIES: values from 1 to 183 are accepted, negative values freeze their dimensions and do not obey rotation. Value 183 for vectors. Value 146 for a point in space. Value 200 to load a 3D object from the 3DModels sheet, thereby indicating the name of the object in the vector label (see as an example vector 2 of the 3D MODEL project). To easily view all shapes do the following: press RESET, then +VECTOR and enter the following values: B7 =I5, I3=1, I4=200, E5=60 and press the button --&gt; to navigate through the different values of I5, that is, B7. The value B=-114 allows loading a text box with indicator of a cell, for example B=-114 (negative), B9=15 and C9=4 will place the text box indicator in the cell that is in row 15 and column 4.</v>
      </c>
      <c r="AD138">
        <v>135</v>
      </c>
      <c r="AE138" t="str">
        <f>$AE$120</f>
        <v>TYPE OF SHAPE to be represented in the coordinate system. The shape that is pre-established for ScienSolar is code 183.This shape is created in ScienSolar so that it perfectly represents a vector. However, you can use other forms for other purposes, but it should be noted that for codes other than 183 the rotations do not work correctly. PROPERTIES: values from 1 to 183 are accepted, negative values freeze their dimensions and do not obey rotation. Value 183 for vectors. Value 146 for a point in space. Value 200 to load a 3D object from the 3DModels sheet, thereby indicating the name of the object in the vector label (see as an example vector 2 of the 3D MODEL project). To easily view all shapes do the following: press RESET, then +VECTOR and enter the following values: B7 =I5, I3=1, I4=200, E5=60 and press the button --&gt; to navigate through the different values of I5, that is, B7. The value B=-114 allows loading a text box with indicator of a cell, for example B=-114 (negative), B9=15 and C9=4 will place the text box indicator in the cell that is in row 15 and column 4.</v>
      </c>
      <c r="AF138" t="str">
        <f>$AF$120</f>
        <v>TIPO DE FORMA a representar en el sistema de coordenadas. La forma típica para ScienSolar es la de código 183. Esta forma está elaborada en ScienSolar para que represente perfectamente a un vector. Sin embargo se pueden utilizar otras formas para otros fines, pero cabe resaltar que para otros códigos diferentes a 183 las rotaciones  no funcionan correctamente. PROPIEDADES: se aceptan valores desde 1 hasta 183, los valores negativos congelan sus dimensiones y no obedecen a la rotación.  Valor 183 para vectores. Valor 146 para un punto en el espacio. Valor 200 para cargar un objeto 3D de la hoja 3DModels, con ello indicando en la etiqueta del vector el nombre del objeto (ver como ejemplo el vector 2 del proyecto MODELO 3D). Para visualizar  fácilmente todas las formas haga lo siguiente: oprima RESET (RESTABLECER), luego +VECTOR e introduzca los siguientes valores:  B7 =I5,  I3=1, I4=200, E5=60 y oprima el botón --&gt; para navegar por los diferentes valores de I5, es decir de B7.  El valor B=-114  permite cargar un cuadro de texto con indicador de una celda, por ejemplo B=-114 (negativo), B9=15 y C9=4 ubicará el indicador en la celda que está en la fila 15 y la columna 4.</v>
      </c>
    </row>
    <row r="139" spans="27:32" x14ac:dyDescent="0.2">
      <c r="AA139" t="s">
        <v>88</v>
      </c>
      <c r="AB139" t="str">
        <f>HLOOKUP($Q$2,$AD$4:$AK$800,AD139)</f>
        <v xml:space="preserve">VECTOR LINE TYPE_x000D_For a solid line, enter 1 and for different types of dotted lines, enter 2 to 12._x000D__x000D_CONTROL OF THE VECTOR SIZE IN THE COORDINATE SYSTEM_x000D_Change the size of the vectors by entering in the value of this cell an expression of the form 60*4, where instead of 60 any number greater than 15 is entered, thus indicating the percentage of the vector with respect to the size of the axes, and instead of 4 any number that indicates how sharply the field function changes. Use this setting especially in field mode to control that the size of the vectors does not exceed the size of the system coordinates, and the function of the field is controlled with the second number. For this function to be activated, the format 60*4 is required (the asterisk is mandatory, and without the equal sign). Remark: This function can change the actual appearance of the vectors. </v>
      </c>
      <c r="AD139">
        <v>136</v>
      </c>
      <c r="AE139" t="str">
        <f>$AE$121</f>
        <v xml:space="preserve">VECTOR LINE TYPE_x000D_For a solid line, enter 1 and for different types of dotted lines, enter 2 to 12._x000D__x000D_CONTROL OF THE VECTOR SIZE IN THE COORDINATE SYSTEM_x000D_Change the size of the vectors by entering in the value of this cell an expression of the form 60*4, where instead of 60 any number greater than 15 is entered, thus indicating the percentage of the vector with respect to the size of the axes, and instead of 4 any number that indicates how sharply the field function changes. Use this setting especially in field mode to control that the size of the vectors does not exceed the size of the system coordinates, and the function of the field is controlled with the second number. For this function to be activated, the format 60*4 is required (the asterisk is mandatory, and without the equal sign). Remark: This function can change the actual appearance of the vectors. </v>
      </c>
      <c r="AF139" t="str">
        <f>$AF$121</f>
        <v xml:space="preserve">TIPO DE LÍNEA DEL VECTOR_x000D_Para línea continua se introduce 1 y para diferentes tipos de línea punteada del 2 al 12._x000D__x000D_CONTROL DEL TAMAÑO DEL VECTOR EN EL SISTEMA DE COORDENADAS_x000D_Si el valor de esta celda es de la forma 60*4, en donde en lugar de 60 se introduce cualquier número  mayor que 15, se indica con esto el porcentaje del vector con respecto al tamaño de los ejes, y en lugar de 4 cualquier número  que indica el grado de agudeza con que la función del campo cambia. Utilice esta configuración especialmente en modo campo para controlar que el tamaño de los vectores no sobrepase el tamaño del sistema de coordenadas, y la función campo adquiera suavidad. Controle esta suavidad con el segundo número. Para que esta función se active es necesario el formato 60*4 (el asterisco es obligatorio, y sin el signo igual). Nota: esta función puede cambiar la apariencia real de los vectores. </v>
      </c>
    </row>
    <row r="140" spans="27:32" x14ac:dyDescent="0.2">
      <c r="AA140" t="s">
        <v>91</v>
      </c>
      <c r="AB140" t="str">
        <f>HLOOKUP($Q$2,$AD$4:$AK$800,AD140)</f>
        <v>Free cell for shape 183. For shape 200, the other rotation angle of the 3D object is entered here (see 3D MODEL project, vector2). For shape -114, the indicator position row.</v>
      </c>
      <c r="AD140">
        <v>137</v>
      </c>
      <c r="AE140" t="str">
        <f>$AE$122</f>
        <v>Free cell for shape 183. For shape 200, the other rotation angle of the 3D object is entered here (see 3D MODEL project, vector2). For shape -114, the indicator position row.</v>
      </c>
      <c r="AF140" t="str">
        <f>$AF$122</f>
        <v>Celda libre para la forma 183. Para la forma 200 se introduce aquí el otro ángulo de rotación del objeto 3D (ver proyecto MODELO 3D, vector2). Para la forma -114 se introduce aquí la fila de posición del indicador.</v>
      </c>
    </row>
    <row r="141" spans="27:32" x14ac:dyDescent="0.2">
      <c r="AA141" t="s">
        <v>94</v>
      </c>
      <c r="AB141" t="str">
        <f>HLOOKUP($Q$2,$AD$4:$AK$800,AD141)</f>
        <v xml:space="preserve">This cell indicates the initial position on the Y axis of the current vector. When working in FIELD mode, the code automatically deletes the data in this cell and replaces it with =B11, since in B11 all the initial values of the Y coordinates of the given field vectors will be traversed (in field mode) for a range in the Y coordinate. In this cell the user can enter constant values as well as functions.To see how it works, in a new ScienSolar sheet add a new vector and put in A12 = 4, B12 = 3, C12 = 0. Press XYZ, Put in other values and observe the changes in the coordinate system. </v>
      </c>
      <c r="AD141">
        <v>138</v>
      </c>
      <c r="AE141" t="str">
        <f>$AE$123</f>
        <v xml:space="preserve">This cell indicates the initial position on the Y axis of the current vector. When working in FIELD mode, the code automatically deletes the data in this cell and replaces it with =B11, since in B11 all the initial values of the Y coordinates of the given field vectors will be traversed (in field mode) for a range in the Y coordinate. In this cell the user can enter constant values as well as functions.To see how it works, in a new ScienSolar sheet add a new vector and put in A12 = 4, B12 = 3, C12 = 0. Press XYZ, Put in other values and observe the changes in the coordinate system. </v>
      </c>
      <c r="AF141" t="str">
        <f>$AF$123</f>
        <v xml:space="preserve">Esta celda indica la posición inicial en el eje Y del vector actual. Cuando se trabaja en modo CAMPO, el código automáticamente borra los datos de esta celda y los reemplaza por =B11, puesto que en B11 se recorrerán (en modo campo) todos los valores iniciales de las coordenadas en Y de los vectores del campo dados para un rango en la coordenada Y. En esta celda el usuario puede introducir valores constantes así como funciones.Para ver como funciona, en una nueva hoja de ScienSolar agregue un nuevo vector y en A12 = 4, B12= 3, C12 = 0. Oprima XYZ, Ponga otros valores y observe los cambios en el sistema de coordenadas. </v>
      </c>
    </row>
    <row r="142" spans="27:32" x14ac:dyDescent="0.2">
      <c r="AA142" t="s">
        <v>97</v>
      </c>
      <c r="AB142" t="str">
        <f>HLOOKUP($Q$2,$AD$4:$AK$800,AD142)</f>
        <v>This cell is used by the code when working in FIELD MODE to cycle through all coordinate values as variables. In other words, this cell is equivalent to the Y variable when working with a function f(y). As an example of using this cell, see the ELECTRIC DIPOLE, CYLINDRICAL SYMMETRY and SPHERICAL SYMMETRY projects. For scalar fields, see the FUNCTIONS project.</v>
      </c>
      <c r="AD142">
        <v>139</v>
      </c>
      <c r="AE142" t="str">
        <f>$AE$124</f>
        <v>This cell is used by the code when working in FIELD MODE to cycle through all coordinate values as variables. In other words, this cell is equivalent to the Y variable when working with a function f(y). As an example of using this cell, see the ELECTRIC DIPOLE, CYLINDRICAL SYMMETRY and SPHERICAL SYMMETRY projects. For scalar fields, see the FUNCTIONS project.</v>
      </c>
      <c r="AF142" t="str">
        <f>$AF$124</f>
        <v>Esta celda es usada por el código cuando se trabaja en MODO CAMPO para recorrer todos los valores de las coordenadas como variables. Dicho de otra manera, esta celda equivale a la variable y cuando se trabaja con una función f(y). Como ejemplo de uso de esta celda ver los proyectos DIPOLO ELÉCTRICO, SIMETRÍA CILÍNDRICA y SIMETRÍA ESFÉRICA. Para campos escalares ver el proyecto FUNCIONES.</v>
      </c>
    </row>
    <row r="143" spans="27:32" x14ac:dyDescent="0.2">
      <c r="AA143" t="s">
        <v>100</v>
      </c>
      <c r="AB143" t="str">
        <f>HLOOKUP($Q$2,$AD$4:$AK$800,AD143)</f>
        <v>In this cell the value of the coordinate on the Y axis of the vector is entered. When working in FIELD MODE, the function corresponding to the Y axis of the vector field is entered here. As an example of use of this cell see the ELECTRICAL DIPOLE, CYLINDRICAL SYMMETRY and SPHERICAL SYMMETRY projects. For scalar fields see the FUNCTIONS project.</v>
      </c>
      <c r="AD143">
        <v>140</v>
      </c>
      <c r="AE143" t="str">
        <f>$AE$125</f>
        <v>In this cell the value of the coordinate on the Y axis of the vector is entered. When working in FIELD MODE, the function corresponding to the Y axis of the vector field is entered here. As an example of use of this cell see the ELECTRICAL DIPOLE, CYLINDRICAL SYMMETRY and SPHERICAL SYMMETRY projects. For scalar fields see the FUNCTIONS project.</v>
      </c>
      <c r="AF143" t="str">
        <f>$AF$125</f>
        <v>En esta celda se introduce el valor de la coordenada en el eje Y del vector. Cuando se trabaja en MODO CAMPO, se introduce aquí la función correspondiente al eje Y del campo vectorial. Como ejemplo de uso de esta celda ver los proyectos DIPOLO ELÉCTRICO, SIMETRÍA CILÍNDRICA y SIMETRÍA ESFÉRICA. Para campos escalares ver el proyecto FUNCIONES.</v>
      </c>
    </row>
    <row r="144" spans="27:32" x14ac:dyDescent="0.2">
      <c r="AA144" t="s">
        <v>103</v>
      </c>
      <c r="AB144" t="str">
        <f>HLOOKUP($Q$2,$AD$4:$AK$800,AD144)</f>
        <v>ROW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B40=30, B41=10, D41=a and E41=b; press Run. A table with the simulation data will appear from the indicated cell. The table can be deleted simply by pressing the BUTTON IN COLUMN A of this vector. The value 0 for this cell disables this function. Only positive numerical values are accepted. The data can be used for other studies in Excel or other data analysis programs.</v>
      </c>
      <c r="AD144">
        <v>141</v>
      </c>
      <c r="AE144" t="str">
        <f>$AE$126</f>
        <v>ROW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B40=30, B41=10, D41=a and E41=b; press Run. A table with the simulation data will appear from the indicated cell. The table can be deleted simply by pressing the BUTTON IN COLUMN A of this vector. The value 0 for this cell disables this function. Only positive numerical values are accepted. The data can be used for other studies in Excel or other data analysis programs.</v>
      </c>
      <c r="AF144" t="str">
        <f>$AF$126</f>
        <v xml:space="preserve">NÚMERO DE FILA para el inicio de una tabla de salida de datos durante la ejecución de un modelo. El número de columnas que tendrá la tabla es 9 con las coordenadas iniciales, finales y dos celdas más para fórmulas adicionales. El número de filas depende de la resolución de toma de datos del problema en particular. Para ver cómo funciona esta celda oprima New Sheet (Nueva hoja) seleccione el proyecto MOVIMIENTO PARABÓLICO de la lista y oprima +VECTOR, luego, para el vector velocidad coloque B40=30, B41=10, D41=a y E41=b; oprima Ejecutar (Run). Aparecerá, a partir de la celda indicada, una tabla con los datos de la simulación. La tabla sepuede borrar simplemente OPRIMIENO EL BOTÓN EN LA COLUMNA A DE ESTE VECTOR. En lugar de las letras a y b se pueden introducir otras funciones. El valor 0 para esta celda deshabilita esta función. Solo se aceptan valores numéricos positivos. Los datos pueden ser usados para otros estudios en Excel u otros programas de análisis de datos. </v>
      </c>
    </row>
    <row r="145" spans="27:32" x14ac:dyDescent="0.2">
      <c r="AA145" t="s">
        <v>106</v>
      </c>
      <c r="AB145" t="str">
        <f>HLOOKUP($Q$2,$AD$4:$AK$800,AD145)</f>
        <v>COLUMN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B40=25, B41=10, D41=a and E41=b; press Run. A table with the simulation data will appear from the indicated cell. The table HEcan be deleted simply by by pressing the BUTTON IN COLUMN A of this vector. The value 0 for this cell disables this function. Only positive numerical values are accepted. The data can be used for other studies in Excel or other data analysis programs.</v>
      </c>
      <c r="AD145">
        <v>142</v>
      </c>
      <c r="AE145" t="str">
        <f>$AE$127</f>
        <v>COLUMN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B40=25, B41=10, D41=a and E41=b; press Run. A table with the simulation data will appear from the indicated cell. The table HEcan be deleted simply by by pressing the BUTTON IN COLUMN A of this vector. The value 0 for this cell disables this function. Only positive numerical values are accepted. The data can be used for other studies in Excel or other data analysis programs.</v>
      </c>
      <c r="AF145" t="str">
        <f>$AF$127</f>
        <v xml:space="preserve">NÚMERO DE COLUMNA para el inicio de una tabla de salida de datos durante la ejecución de un modelo. El número de columnas que tendrá la tabla es 9 con las coordenadas iniciales, finales y dos celdas más para fórmulas adicionales. El número de filas depende de la resolución de toma de datos del problema en particular. Para ver cómo funciona esta celda oprima New Sheet (Nueva hoja) seleccione el proyecto MOVIMIENTO PARABÓLICO de la lista y oprima +VECTOR, luego, para el vector velocidad coloque B40=25, B41=7, D41=a y E41=b; oprima Ejecutar (Run). Aparecerá, a partir de la celda indicada, una tabla con los datos de la simulación. La tabla sepuede borrar simplemente OPRIMIENO EL BOTÓN EN LA COLUMNA A DE ESTE VECTOR. En lugar de las letras a y b se pueden introducir otras funciones. El valor 0 para esta celda deshabilita esta función. Solo se aceptan valores numéricos positivos. Los datos pueden ser usados para otros estudios en Excel u otros programas de análisis de datos. </v>
      </c>
    </row>
    <row r="146" spans="27:32" x14ac:dyDescent="0.2">
      <c r="AA146" t="s">
        <v>109</v>
      </c>
      <c r="AB146" t="str">
        <f>HLOOKUP($Q$2,$AD$4:$AK$800,AD146)</f>
        <v>VECTOR LABEL. Enter here the vector label that will appear in the coordinate system next to the vector. PROPERTIES: If no value is entered, the vector will appear without a label in the system. You can also introduce variable label functions, see example in the QUADRUPOLE project for labels of the electric charges q1, q2, q3, q4.</v>
      </c>
      <c r="AD146">
        <v>143</v>
      </c>
      <c r="AE146" t="str">
        <f>$AE$119</f>
        <v>VECTOR LABEL. Enter here the vector label that will appear in the coordinate system next to the vector. PROPERTIES: If no value is entered, the vector will appear without a label in the system. You can also introduce variable label functions, see example in the QUADRUPOLE project for labels of the electric charges q1, q2, q3, q4.</v>
      </c>
      <c r="AF146" t="str">
        <f>$AF$119</f>
        <v>ETIQUETA DEL VECTOR. Ingrese aquí la etiqueta del vector que aparecerá en el sistema de coordenadas al lado del vector. PROPIEDADES: Si no se introduce ningún valor, el vector aparecerá sin etiqueta en el sistema de coordenadas. También se pueden introducir funciones de etiquetas variables, ver ejemplo en el proyecto CUADRUPOLO para etiquetas de las cargas q1, q2, q3, q4.</v>
      </c>
    </row>
    <row r="147" spans="27:32" x14ac:dyDescent="0.2">
      <c r="AA147" t="s">
        <v>112</v>
      </c>
      <c r="AB147" t="str">
        <f>HLOOKUP($Q$2,$AD$4:$AK$800,AD147)</f>
        <v>TYPE OF SHAPE to be represented in the coordinate system. The shape that is pre-established for ScienSolar is code 183.This shape is created in ScienSolar so that it perfectly represents a vector. However, you can use other forms for other purposes, but it should be noted that for codes other than 183 the rotations do not work correctly. PROPERTIES: values from 1 to 183 are accepted, negative values freeze their dimensions and do not obey rotation. Value 183 for vectors. Value 146 for a point in space. Value 200 to load a 3D object from the 3DModels sheet, thereby indicating the name of the object in the vector label (see as an example vector 2 of the 3D MODEL project). To easily view all shapes do the following: press RESET, then +VECTOR and enter the following values: B7 =I5, I3=1, I4=200, E5=60 and press the button --&gt; to navigate through the different values of I5, that is, B7. The value B=-114 allows loading a text box with indicator of a cell, for example B=-114 (negative), B9=15 and C9=4 will place the text box indicator in the cell that is in row 15 and column 4.</v>
      </c>
      <c r="AD147">
        <v>144</v>
      </c>
      <c r="AE147" t="str">
        <f>$AE$120</f>
        <v>TYPE OF SHAPE to be represented in the coordinate system. The shape that is pre-established for ScienSolar is code 183.This shape is created in ScienSolar so that it perfectly represents a vector. However, you can use other forms for other purposes, but it should be noted that for codes other than 183 the rotations do not work correctly. PROPERTIES: values from 1 to 183 are accepted, negative values freeze their dimensions and do not obey rotation. Value 183 for vectors. Value 146 for a point in space. Value 200 to load a 3D object from the 3DModels sheet, thereby indicating the name of the object in the vector label (see as an example vector 2 of the 3D MODEL project). To easily view all shapes do the following: press RESET, then +VECTOR and enter the following values: B7 =I5, I3=1, I4=200, E5=60 and press the button --&gt; to navigate through the different values of I5, that is, B7. The value B=-114 allows loading a text box with indicator of a cell, for example B=-114 (negative), B9=15 and C9=4 will place the text box indicator in the cell that is in row 15 and column 4.</v>
      </c>
      <c r="AF147" t="str">
        <f>$AF$120</f>
        <v>TIPO DE FORMA a representar en el sistema de coordenadas. La forma típica para ScienSolar es la de código 183. Esta forma está elaborada en ScienSolar para que represente perfectamente a un vector. Sin embargo se pueden utilizar otras formas para otros fines, pero cabe resaltar que para otros códigos diferentes a 183 las rotaciones  no funcionan correctamente. PROPIEDADES: se aceptan valores desde 1 hasta 183, los valores negativos congelan sus dimensiones y no obedecen a la rotación.  Valor 183 para vectores. Valor 146 para un punto en el espacio. Valor 200 para cargar un objeto 3D de la hoja 3DModels, con ello indicando en la etiqueta del vector el nombre del objeto (ver como ejemplo el vector 2 del proyecto MODELO 3D). Para visualizar  fácilmente todas las formas haga lo siguiente: oprima RESET (RESTABLECER), luego +VECTOR e introduzca los siguientes valores:  B7 =I5,  I3=1, I4=200, E5=60 y oprima el botón --&gt; para navegar por los diferentes valores de I5, es decir de B7.  El valor B=-114  permite cargar un cuadro de texto con indicador de una celda, por ejemplo B=-114 (negativo), B9=15 y C9=4 ubicará el indicador en la celda que está en la fila 15 y la columna 4.</v>
      </c>
    </row>
    <row r="148" spans="27:32" x14ac:dyDescent="0.2">
      <c r="AA148" t="s">
        <v>115</v>
      </c>
      <c r="AB148" t="str">
        <f>HLOOKUP($Q$2,$AD$4:$AK$800,AD148)</f>
        <v xml:space="preserve">VECTOR LINE TYPE_x000D_For a solid line, enter 1 and for different types of dotted lines, enter 2 to 12._x000D__x000D_CONTROL OF THE VECTOR SIZE IN THE COORDINATE SYSTEM_x000D_Change the size of the vectors by entering in the value of this cell an expression of the form 60*4, where instead of 60 any number greater than 15 is entered, thus indicating the percentage of the vector with respect to the size of the axes, and instead of 4 any number that indicates how sharply the field function changes. Use this setting especially in field mode to control that the size of the vectors does not exceed the size of the system coordinates, and the function of the field is controlled with the second number. For this function to be activated, the format 60*4 is required (the asterisk is mandatory, and without the equal sign). Remark: This function can change the actual appearance of the vectors. </v>
      </c>
      <c r="AD148">
        <v>145</v>
      </c>
      <c r="AE148" t="str">
        <f>$AE$121</f>
        <v xml:space="preserve">VECTOR LINE TYPE_x000D_For a solid line, enter 1 and for different types of dotted lines, enter 2 to 12._x000D__x000D_CONTROL OF THE VECTOR SIZE IN THE COORDINATE SYSTEM_x000D_Change the size of the vectors by entering in the value of this cell an expression of the form 60*4, where instead of 60 any number greater than 15 is entered, thus indicating the percentage of the vector with respect to the size of the axes, and instead of 4 any number that indicates how sharply the field function changes. Use this setting especially in field mode to control that the size of the vectors does not exceed the size of the system coordinates, and the function of the field is controlled with the second number. For this function to be activated, the format 60*4 is required (the asterisk is mandatory, and without the equal sign). Remark: This function can change the actual appearance of the vectors. </v>
      </c>
      <c r="AF148" t="str">
        <f>$AF$121</f>
        <v xml:space="preserve">TIPO DE LÍNEA DEL VECTOR_x000D_Para línea continua se introduce 1 y para diferentes tipos de línea punteada del 2 al 12._x000D__x000D_CONTROL DEL TAMAÑO DEL VECTOR EN EL SISTEMA DE COORDENADAS_x000D_Si el valor de esta celda es de la forma 60*4, en donde en lugar de 60 se introduce cualquier número  mayor que 15, se indica con esto el porcentaje del vector con respecto al tamaño de los ejes, y en lugar de 4 cualquier número  que indica el grado de agudeza con que la función del campo cambia. Utilice esta configuración especialmente en modo campo para controlar que el tamaño de los vectores no sobrepase el tamaño del sistema de coordenadas, y la función campo adquiera suavidad. Controle esta suavidad con el segundo número. Para que esta función se active es necesario el formato 60*4 (el asterisco es obligatorio, y sin el signo igual). Nota: esta función puede cambiar la apariencia real de los vectores. </v>
      </c>
    </row>
    <row r="149" spans="27:32" x14ac:dyDescent="0.2">
      <c r="AA149" t="s">
        <v>118</v>
      </c>
      <c r="AB149" t="str">
        <f>HLOOKUP($Q$2,$AD$4:$AK$800,AD149)</f>
        <v>Free cell for shape 183. For shape 200, the other rotation angle of the 3D object is entered here (see 3D MODEL project, vector2). For shape -114, the indicator position row.</v>
      </c>
      <c r="AD149">
        <v>146</v>
      </c>
      <c r="AE149" t="str">
        <f>$AE$122</f>
        <v>Free cell for shape 183. For shape 200, the other rotation angle of the 3D object is entered here (see 3D MODEL project, vector2). For shape -114, the indicator position row.</v>
      </c>
      <c r="AF149" t="str">
        <f>$AF$122</f>
        <v>Celda libre para la forma 183. Para la forma 200 se introduce aquí el otro ángulo de rotación del objeto 3D (ver proyecto MODELO 3D, vector2). Para la forma -114 se introduce aquí la fila de posición del indicador.</v>
      </c>
    </row>
    <row r="150" spans="27:32" x14ac:dyDescent="0.2">
      <c r="AA150" t="s">
        <v>121</v>
      </c>
      <c r="AB150" t="str">
        <f>HLOOKUP($Q$2,$AD$4:$AK$800,AD150)</f>
        <v xml:space="preserve">This cell indicates the initial position on the Y axis of the current vector. When working in FIELD mode, the code automatically deletes the data in this cell and replaces it with =B11, since in B11 all the initial values of the Y coordinates of the given field vectors will be traversed (in field mode) for a range in the Y coordinate. In this cell the user can enter constant values as well as functions.To see how it works, in a new ScienSolar sheet add a new vector and put in A12 = 4, B12 = 3, C12 = 0. Press XYZ, Put in other values and observe the changes in the coordinate system. </v>
      </c>
      <c r="AD150">
        <v>147</v>
      </c>
      <c r="AE150" t="str">
        <f>$AE$123</f>
        <v xml:space="preserve">This cell indicates the initial position on the Y axis of the current vector. When working in FIELD mode, the code automatically deletes the data in this cell and replaces it with =B11, since in B11 all the initial values of the Y coordinates of the given field vectors will be traversed (in field mode) for a range in the Y coordinate. In this cell the user can enter constant values as well as functions.To see how it works, in a new ScienSolar sheet add a new vector and put in A12 = 4, B12 = 3, C12 = 0. Press XYZ, Put in other values and observe the changes in the coordinate system. </v>
      </c>
      <c r="AF150" t="str">
        <f>$AF$123</f>
        <v xml:space="preserve">Esta celda indica la posición inicial en el eje Y del vector actual. Cuando se trabaja en modo CAMPO, el código automáticamente borra los datos de esta celda y los reemplaza por =B11, puesto que en B11 se recorrerán (en modo campo) todos los valores iniciales de las coordenadas en Y de los vectores del campo dados para un rango en la coordenada Y. En esta celda el usuario puede introducir valores constantes así como funciones.Para ver como funciona, en una nueva hoja de ScienSolar agregue un nuevo vector y en A12 = 4, B12= 3, C12 = 0. Oprima XYZ, Ponga otros valores y observe los cambios en el sistema de coordenadas. </v>
      </c>
    </row>
    <row r="151" spans="27:32" x14ac:dyDescent="0.2">
      <c r="AA151" t="s">
        <v>124</v>
      </c>
      <c r="AB151" t="str">
        <f>HLOOKUP($Q$2,$AD$4:$AK$800,AD151)</f>
        <v>This cell is used by the code when working in FIELD MODE to cycle through all coordinate values as variables. In other words, this cell is equivalent to the Y variable when working with a function f(y). As an example of using this cell, see the ELECTRIC DIPOLE, CYLINDRICAL SYMMETRY and SPHERICAL SYMMETRY projects. For scalar fields, see the FUNCTIONS project.</v>
      </c>
      <c r="AD151">
        <v>148</v>
      </c>
      <c r="AE151" t="str">
        <f>$AE$124</f>
        <v>This cell is used by the code when working in FIELD MODE to cycle through all coordinate values as variables. In other words, this cell is equivalent to the Y variable when working with a function f(y). As an example of using this cell, see the ELECTRIC DIPOLE, CYLINDRICAL SYMMETRY and SPHERICAL SYMMETRY projects. For scalar fields, see the FUNCTIONS project.</v>
      </c>
      <c r="AF151" t="str">
        <f>$AF$124</f>
        <v>Esta celda es usada por el código cuando se trabaja en MODO CAMPO para recorrer todos los valores de las coordenadas como variables. Dicho de otra manera, esta celda equivale a la variable y cuando se trabaja con una función f(y). Como ejemplo de uso de esta celda ver los proyectos DIPOLO ELÉCTRICO, SIMETRÍA CILÍNDRICA y SIMETRÍA ESFÉRICA. Para campos escalares ver el proyecto FUNCIONES.</v>
      </c>
    </row>
    <row r="152" spans="27:32" x14ac:dyDescent="0.2">
      <c r="AA152" t="s">
        <v>127</v>
      </c>
      <c r="AB152" t="str">
        <f>HLOOKUP($Q$2,$AD$4:$AK$800,AD152)</f>
        <v>In this cell the value of the coordinate on the Y axis of the vector is entered. When working in FIELD MODE, the function corresponding to the Y axis of the vector field is entered here. As an example of use of this cell see the ELECTRICAL DIPOLE, CYLINDRICAL SYMMETRY and SPHERICAL SYMMETRY projects. For scalar fields see the FUNCTIONS project.</v>
      </c>
      <c r="AD152">
        <v>149</v>
      </c>
      <c r="AE152" t="str">
        <f>$AE$125</f>
        <v>In this cell the value of the coordinate on the Y axis of the vector is entered. When working in FIELD MODE, the function corresponding to the Y axis of the vector field is entered here. As an example of use of this cell see the ELECTRICAL DIPOLE, CYLINDRICAL SYMMETRY and SPHERICAL SYMMETRY projects. For scalar fields see the FUNCTIONS project.</v>
      </c>
      <c r="AF152" t="str">
        <f>$AF$125</f>
        <v>En esta celda se introduce el valor de la coordenada en el eje Y del vector. Cuando se trabaja en MODO CAMPO, se introduce aquí la función correspondiente al eje Y del campo vectorial. Como ejemplo de uso de esta celda ver los proyectos DIPOLO ELÉCTRICO, SIMETRÍA CILÍNDRICA y SIMETRÍA ESFÉRICA. Para campos escalares ver el proyecto FUNCIONES.</v>
      </c>
    </row>
    <row r="153" spans="27:32" x14ac:dyDescent="0.2">
      <c r="AA153" t="s">
        <v>130</v>
      </c>
      <c r="AB153" t="str">
        <f>HLOOKUP($Q$2,$AD$4:$AK$800,AD153)</f>
        <v>ROW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B40=30, B41=10, D41=a and E41=b; press Run. A table with the simulation data will appear from the indicated cell. The table can be deleted simply by pressing the BUTTON IN COLUMN A of this vector. The value 0 for this cell disables this function. Only positive numerical values are accepted. The data can be used for other studies in Excel or other data analysis programs.</v>
      </c>
      <c r="AD153">
        <v>150</v>
      </c>
      <c r="AE153" t="str">
        <f>$AE$126</f>
        <v>ROW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B40=30, B41=10, D41=a and E41=b; press Run. A table with the simulation data will appear from the indicated cell. The table can be deleted simply by pressing the BUTTON IN COLUMN A of this vector. The value 0 for this cell disables this function. Only positive numerical values are accepted. The data can be used for other studies in Excel or other data analysis programs.</v>
      </c>
      <c r="AF153" t="str">
        <f>$AF$126</f>
        <v xml:space="preserve">NÚMERO DE FILA para el inicio de una tabla de salida de datos durante la ejecución de un modelo. El número de columnas que tendrá la tabla es 9 con las coordenadas iniciales, finales y dos celdas más para fórmulas adicionales. El número de filas depende de la resolución de toma de datos del problema en particular. Para ver cómo funciona esta celda oprima New Sheet (Nueva hoja) seleccione el proyecto MOVIMIENTO PARABÓLICO de la lista y oprima +VECTOR, luego, para el vector velocidad coloque B40=30, B41=10, D41=a y E41=b; oprima Ejecutar (Run). Aparecerá, a partir de la celda indicada, una tabla con los datos de la simulación. La tabla sepuede borrar simplemente OPRIMIENO EL BOTÓN EN LA COLUMNA A DE ESTE VECTOR. En lugar de las letras a y b se pueden introducir otras funciones. El valor 0 para esta celda deshabilita esta función. Solo se aceptan valores numéricos positivos. Los datos pueden ser usados para otros estudios en Excel u otros programas de análisis de datos. </v>
      </c>
    </row>
    <row r="154" spans="27:32" x14ac:dyDescent="0.2">
      <c r="AA154" t="s">
        <v>133</v>
      </c>
      <c r="AB154" t="str">
        <f>HLOOKUP($Q$2,$AD$4:$AK$800,AD154)</f>
        <v>COLUMN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B40=25, B41=10, D41=a and E41=b; press Run. A table with the simulation data will appear from the indicated cell. The table HEcan be deleted simply by by pressing the BUTTON IN COLUMN A of this vector. The value 0 for this cell disables this function. Only positive numerical values are accepted. The data can be used for other studies in Excel or other data analysis programs.</v>
      </c>
      <c r="AD154">
        <v>151</v>
      </c>
      <c r="AE154" t="str">
        <f>$AE$127</f>
        <v>COLUMN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B40=25, B41=10, D41=a and E41=b; press Run. A table with the simulation data will appear from the indicated cell. The table HEcan be deleted simply by by pressing the BUTTON IN COLUMN A of this vector. The value 0 for this cell disables this function. Only positive numerical values are accepted. The data can be used for other studies in Excel or other data analysis programs.</v>
      </c>
      <c r="AF154" t="str">
        <f>$AF$127</f>
        <v xml:space="preserve">NÚMERO DE COLUMNA para el inicio de una tabla de salida de datos durante la ejecución de un modelo. El número de columnas que tendrá la tabla es 9 con las coordenadas iniciales, finales y dos celdas más para fórmulas adicionales. El número de filas depende de la resolución de toma de datos del problema en particular. Para ver cómo funciona esta celda oprima New Sheet (Nueva hoja) seleccione el proyecto MOVIMIENTO PARABÓLICO de la lista y oprima +VECTOR, luego, para el vector velocidad coloque B40=25, B41=7, D41=a y E41=b; oprima Ejecutar (Run). Aparecerá, a partir de la celda indicada, una tabla con los datos de la simulación. La tabla sepuede borrar simplemente OPRIMIENO EL BOTÓN EN LA COLUMNA A DE ESTE VECTOR. En lugar de las letras a y b se pueden introducir otras funciones. El valor 0 para esta celda deshabilita esta función. Solo se aceptan valores numéricos positivos. Los datos pueden ser usados para otros estudios en Excel u otros programas de análisis de datos. </v>
      </c>
    </row>
    <row r="155" spans="27:32" x14ac:dyDescent="0.2">
      <c r="AA155" t="s">
        <v>136</v>
      </c>
      <c r="AB155" t="str">
        <f>HLOOKUP($Q$2,$AD$4:$AK$800,AD155)</f>
        <v>VECTOR LABEL. Enter here the vector label that will appear in the coordinate system next to the vector. PROPERTIES: If no value is entered, the vector will appear without a label in the system. You can also introduce variable label functions, see example in the QUADRUPOLE project for labels of the electric charges q1, q2, q3, q4.</v>
      </c>
      <c r="AD155">
        <v>152</v>
      </c>
      <c r="AE155" t="str">
        <f>$AE$119</f>
        <v>VECTOR LABEL. Enter here the vector label that will appear in the coordinate system next to the vector. PROPERTIES: If no value is entered, the vector will appear without a label in the system. You can also introduce variable label functions, see example in the QUADRUPOLE project for labels of the electric charges q1, q2, q3, q4.</v>
      </c>
      <c r="AF155" t="str">
        <f>$AF$119</f>
        <v>ETIQUETA DEL VECTOR. Ingrese aquí la etiqueta del vector que aparecerá en el sistema de coordenadas al lado del vector. PROPIEDADES: Si no se introduce ningún valor, el vector aparecerá sin etiqueta en el sistema de coordenadas. También se pueden introducir funciones de etiquetas variables, ver ejemplo en el proyecto CUADRUPOLO para etiquetas de las cargas q1, q2, q3, q4.</v>
      </c>
    </row>
    <row r="156" spans="27:32" x14ac:dyDescent="0.2">
      <c r="AA156" t="s">
        <v>139</v>
      </c>
      <c r="AB156" t="str">
        <f>HLOOKUP($Q$2,$AD$4:$AK$800,AD156)</f>
        <v>TYPE OF SHAPE to be represented in the coordinate system. The shape that is pre-established for ScienSolar is code 183.This shape is created in ScienSolar so that it perfectly represents a vector. However, you can use other forms for other purposes, but it should be noted that for codes other than 183 the rotations do not work correctly. PROPERTIES: values from 1 to 183 are accepted, negative values freeze their dimensions and do not obey rotation. Value 183 for vectors. Value 146 for a point in space. Value 200 to load a 3D object from the 3DModels sheet, thereby indicating the name of the object in the vector label (see as an example vector 2 of the 3D MODEL project). To easily view all shapes do the following: press RESET, then +VECTOR and enter the following values: B7 =I5, I3=1, I4=200, E5=60 and press the button --&gt; to navigate through the different values of I5, that is, B7. The value B=-114 allows loading a text box with indicator of a cell, for example B=-114 (negative), B9=15 and C9=4 will place the text box indicator in the cell that is in row 15 and column 4.</v>
      </c>
      <c r="AD156">
        <v>153</v>
      </c>
      <c r="AE156" t="str">
        <f>$AE$120</f>
        <v>TYPE OF SHAPE to be represented in the coordinate system. The shape that is pre-established for ScienSolar is code 183.This shape is created in ScienSolar so that it perfectly represents a vector. However, you can use other forms for other purposes, but it should be noted that for codes other than 183 the rotations do not work correctly. PROPERTIES: values from 1 to 183 are accepted, negative values freeze their dimensions and do not obey rotation. Value 183 for vectors. Value 146 for a point in space. Value 200 to load a 3D object from the 3DModels sheet, thereby indicating the name of the object in the vector label (see as an example vector 2 of the 3D MODEL project). To easily view all shapes do the following: press RESET, then +VECTOR and enter the following values: B7 =I5, I3=1, I4=200, E5=60 and press the button --&gt; to navigate through the different values of I5, that is, B7. The value B=-114 allows loading a text box with indicator of a cell, for example B=-114 (negative), B9=15 and C9=4 will place the text box indicator in the cell that is in row 15 and column 4.</v>
      </c>
      <c r="AF156" t="str">
        <f>$AF$120</f>
        <v>TIPO DE FORMA a representar en el sistema de coordenadas. La forma típica para ScienSolar es la de código 183. Esta forma está elaborada en ScienSolar para que represente perfectamente a un vector. Sin embargo se pueden utilizar otras formas para otros fines, pero cabe resaltar que para otros códigos diferentes a 183 las rotaciones  no funcionan correctamente. PROPIEDADES: se aceptan valores desde 1 hasta 183, los valores negativos congelan sus dimensiones y no obedecen a la rotación.  Valor 183 para vectores. Valor 146 para un punto en el espacio. Valor 200 para cargar un objeto 3D de la hoja 3DModels, con ello indicando en la etiqueta del vector el nombre del objeto (ver como ejemplo el vector 2 del proyecto MODELO 3D). Para visualizar  fácilmente todas las formas haga lo siguiente: oprima RESET (RESTABLECER), luego +VECTOR e introduzca los siguientes valores:  B7 =I5,  I3=1, I4=200, E5=60 y oprima el botón --&gt; para navegar por los diferentes valores de I5, es decir de B7.  El valor B=-114  permite cargar un cuadro de texto con indicador de una celda, por ejemplo B=-114 (negativo), B9=15 y C9=4 ubicará el indicador en la celda que está en la fila 15 y la columna 4.</v>
      </c>
    </row>
    <row r="157" spans="27:32" x14ac:dyDescent="0.2">
      <c r="AA157" t="s">
        <v>142</v>
      </c>
      <c r="AB157" t="str">
        <f>HLOOKUP($Q$2,$AD$4:$AK$800,AD157)</f>
        <v xml:space="preserve">VECTOR LINE TYPE_x000D_For a solid line, enter 1 and for different types of dotted lines, enter 2 to 12._x000D__x000D_CONTROL OF THE VECTOR SIZE IN THE COORDINATE SYSTEM_x000D_Change the size of the vectors by entering in the value of this cell an expression of the form 60*4, where instead of 60 any number greater than 15 is entered, thus indicating the percentage of the vector with respect to the size of the axes, and instead of 4 any number that indicates how sharply the field function changes. Use this setting especially in field mode to control that the size of the vectors does not exceed the size of the system coordinates, and the function of the field is controlled with the second number. For this function to be activated, the format 60*4 is required (the asterisk is mandatory, and without the equal sign). Remark: This function can change the actual appearance of the vectors. </v>
      </c>
      <c r="AD157">
        <v>154</v>
      </c>
      <c r="AE157" t="str">
        <f>$AE$121</f>
        <v xml:space="preserve">VECTOR LINE TYPE_x000D_For a solid line, enter 1 and for different types of dotted lines, enter 2 to 12._x000D__x000D_CONTROL OF THE VECTOR SIZE IN THE COORDINATE SYSTEM_x000D_Change the size of the vectors by entering in the value of this cell an expression of the form 60*4, where instead of 60 any number greater than 15 is entered, thus indicating the percentage of the vector with respect to the size of the axes, and instead of 4 any number that indicates how sharply the field function changes. Use this setting especially in field mode to control that the size of the vectors does not exceed the size of the system coordinates, and the function of the field is controlled with the second number. For this function to be activated, the format 60*4 is required (the asterisk is mandatory, and without the equal sign). Remark: This function can change the actual appearance of the vectors. </v>
      </c>
      <c r="AF157" t="str">
        <f>$AF$121</f>
        <v xml:space="preserve">TIPO DE LÍNEA DEL VECTOR_x000D_Para línea continua se introduce 1 y para diferentes tipos de línea punteada del 2 al 12._x000D__x000D_CONTROL DEL TAMAÑO DEL VECTOR EN EL SISTEMA DE COORDENADAS_x000D_Si el valor de esta celda es de la forma 60*4, en donde en lugar de 60 se introduce cualquier número  mayor que 15, se indica con esto el porcentaje del vector con respecto al tamaño de los ejes, y en lugar de 4 cualquier número  que indica el grado de agudeza con que la función del campo cambia. Utilice esta configuración especialmente en modo campo para controlar que el tamaño de los vectores no sobrepase el tamaño del sistema de coordenadas, y la función campo adquiera suavidad. Controle esta suavidad con el segundo número. Para que esta función se active es necesario el formato 60*4 (el asterisco es obligatorio, y sin el signo igual). Nota: esta función puede cambiar la apariencia real de los vectores. </v>
      </c>
    </row>
    <row r="158" spans="27:32" x14ac:dyDescent="0.2">
      <c r="AA158" t="s">
        <v>145</v>
      </c>
      <c r="AB158" t="str">
        <f>HLOOKUP($Q$2,$AD$4:$AK$800,AD158)</f>
        <v>Free cell for shape 183. For shape 200, the other rotation angle of the 3D object is entered here (see 3D MODEL project, vector2). For shape -114, the indicator position row.</v>
      </c>
      <c r="AD158">
        <v>155</v>
      </c>
      <c r="AE158" t="str">
        <f>$AE$122</f>
        <v>Free cell for shape 183. For shape 200, the other rotation angle of the 3D object is entered here (see 3D MODEL project, vector2). For shape -114, the indicator position row.</v>
      </c>
      <c r="AF158" t="str">
        <f>$AF$122</f>
        <v>Celda libre para la forma 183. Para la forma 200 se introduce aquí el otro ángulo de rotación del objeto 3D (ver proyecto MODELO 3D, vector2). Para la forma -114 se introduce aquí la fila de posición del indicador.</v>
      </c>
    </row>
    <row r="159" spans="27:32" x14ac:dyDescent="0.2">
      <c r="AA159" t="s">
        <v>148</v>
      </c>
      <c r="AB159" t="str">
        <f>HLOOKUP($Q$2,$AD$4:$AK$800,AD159)</f>
        <v xml:space="preserve">This cell indicates the initial position on the Y axis of the current vector. When working in FIELD mode, the code automatically deletes the data in this cell and replaces it with =B11, since in B11 all the initial values of the Y coordinates of the given field vectors will be traversed (in field mode) for a range in the Y coordinate. In this cell the user can enter constant values as well as functions.To see how it works, in a new ScienSolar sheet add a new vector and put in A12 = 4, B12 = 3, C12 = 0. Press XYZ, Put in other values and observe the changes in the coordinate system. </v>
      </c>
      <c r="AD159">
        <v>156</v>
      </c>
      <c r="AE159" t="str">
        <f>$AE$123</f>
        <v xml:space="preserve">This cell indicates the initial position on the Y axis of the current vector. When working in FIELD mode, the code automatically deletes the data in this cell and replaces it with =B11, since in B11 all the initial values of the Y coordinates of the given field vectors will be traversed (in field mode) for a range in the Y coordinate. In this cell the user can enter constant values as well as functions.To see how it works, in a new ScienSolar sheet add a new vector and put in A12 = 4, B12 = 3, C12 = 0. Press XYZ, Put in other values and observe the changes in the coordinate system. </v>
      </c>
      <c r="AF159" t="str">
        <f>$AF$123</f>
        <v xml:space="preserve">Esta celda indica la posición inicial en el eje Y del vector actual. Cuando se trabaja en modo CAMPO, el código automáticamente borra los datos de esta celda y los reemplaza por =B11, puesto que en B11 se recorrerán (en modo campo) todos los valores iniciales de las coordenadas en Y de los vectores del campo dados para un rango en la coordenada Y. En esta celda el usuario puede introducir valores constantes así como funciones.Para ver como funciona, en una nueva hoja de ScienSolar agregue un nuevo vector y en A12 = 4, B12= 3, C12 = 0. Oprima XYZ, Ponga otros valores y observe los cambios en el sistema de coordenadas. </v>
      </c>
    </row>
    <row r="160" spans="27:32" x14ac:dyDescent="0.2">
      <c r="AA160" t="s">
        <v>151</v>
      </c>
      <c r="AB160" t="str">
        <f>HLOOKUP($Q$2,$AD$4:$AK$800,AD160)</f>
        <v>This cell is used by the code when working in FIELD MODE to cycle through all coordinate values as variables. In other words, this cell is equivalent to the Y variable when working with a function f(y). As an example of using this cell, see the ELECTRIC DIPOLE, CYLINDRICAL SYMMETRY and SPHERICAL SYMMETRY projects. For scalar fields, see the FUNCTIONS project.</v>
      </c>
      <c r="AD160">
        <v>157</v>
      </c>
      <c r="AE160" t="str">
        <f>$AE$124</f>
        <v>This cell is used by the code when working in FIELD MODE to cycle through all coordinate values as variables. In other words, this cell is equivalent to the Y variable when working with a function f(y). As an example of using this cell, see the ELECTRIC DIPOLE, CYLINDRICAL SYMMETRY and SPHERICAL SYMMETRY projects. For scalar fields, see the FUNCTIONS project.</v>
      </c>
      <c r="AF160" t="str">
        <f>$AF$124</f>
        <v>Esta celda es usada por el código cuando se trabaja en MODO CAMPO para recorrer todos los valores de las coordenadas como variables. Dicho de otra manera, esta celda equivale a la variable y cuando se trabaja con una función f(y). Como ejemplo de uso de esta celda ver los proyectos DIPOLO ELÉCTRICO, SIMETRÍA CILÍNDRICA y SIMETRÍA ESFÉRICA. Para campos escalares ver el proyecto FUNCIONES.</v>
      </c>
    </row>
    <row r="161" spans="27:32" x14ac:dyDescent="0.2">
      <c r="AA161" t="s">
        <v>154</v>
      </c>
      <c r="AB161" t="str">
        <f>HLOOKUP($Q$2,$AD$4:$AK$800,AD161)</f>
        <v>In this cell the value of the coordinate on the Y axis of the vector is entered. When working in FIELD MODE, the function corresponding to the Y axis of the vector field is entered here. As an example of use of this cell see the ELECTRICAL DIPOLE, CYLINDRICAL SYMMETRY and SPHERICAL SYMMETRY projects. For scalar fields see the FUNCTIONS project.</v>
      </c>
      <c r="AD161">
        <v>158</v>
      </c>
      <c r="AE161" t="str">
        <f>$AE$125</f>
        <v>In this cell the value of the coordinate on the Y axis of the vector is entered. When working in FIELD MODE, the function corresponding to the Y axis of the vector field is entered here. As an example of use of this cell see the ELECTRICAL DIPOLE, CYLINDRICAL SYMMETRY and SPHERICAL SYMMETRY projects. For scalar fields see the FUNCTIONS project.</v>
      </c>
      <c r="AF161" t="str">
        <f>$AF$125</f>
        <v>En esta celda se introduce el valor de la coordenada en el eje Y del vector. Cuando se trabaja en MODO CAMPO, se introduce aquí la función correspondiente al eje Y del campo vectorial. Como ejemplo de uso de esta celda ver los proyectos DIPOLO ELÉCTRICO, SIMETRÍA CILÍNDRICA y SIMETRÍA ESFÉRICA. Para campos escalares ver el proyecto FUNCIONES.</v>
      </c>
    </row>
    <row r="162" spans="27:32" x14ac:dyDescent="0.2">
      <c r="AA162" t="s">
        <v>157</v>
      </c>
      <c r="AB162" t="str">
        <f>HLOOKUP($Q$2,$AD$4:$AK$800,AD162)</f>
        <v>ROW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B40=30, B41=10, D41=a and E41=b; press Run. A table with the simulation data will appear from the indicated cell. The table can be deleted simply by pressing the BUTTON IN COLUMN A of this vector. The value 0 for this cell disables this function. Only positive numerical values are accepted. The data can be used for other studies in Excel or other data analysis programs.</v>
      </c>
      <c r="AD162">
        <v>159</v>
      </c>
      <c r="AE162" t="str">
        <f>$AE$126</f>
        <v>ROW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B40=30, B41=10, D41=a and E41=b; press Run. A table with the simulation data will appear from the indicated cell. The table can be deleted simply by pressing the BUTTON IN COLUMN A of this vector. The value 0 for this cell disables this function. Only positive numerical values are accepted. The data can be used for other studies in Excel or other data analysis programs.</v>
      </c>
      <c r="AF162" t="str">
        <f>$AF$126</f>
        <v xml:space="preserve">NÚMERO DE FILA para el inicio de una tabla de salida de datos durante la ejecución de un modelo. El número de columnas que tendrá la tabla es 9 con las coordenadas iniciales, finales y dos celdas más para fórmulas adicionales. El número de filas depende de la resolución de toma de datos del problema en particular. Para ver cómo funciona esta celda oprima New Sheet (Nueva hoja) seleccione el proyecto MOVIMIENTO PARABÓLICO de la lista y oprima +VECTOR, luego, para el vector velocidad coloque B40=30, B41=10, D41=a y E41=b; oprima Ejecutar (Run). Aparecerá, a partir de la celda indicada, una tabla con los datos de la simulación. La tabla sepuede borrar simplemente OPRIMIENO EL BOTÓN EN LA COLUMNA A DE ESTE VECTOR. En lugar de las letras a y b se pueden introducir otras funciones. El valor 0 para esta celda deshabilita esta función. Solo se aceptan valores numéricos positivos. Los datos pueden ser usados para otros estudios en Excel u otros programas de análisis de datos. </v>
      </c>
    </row>
    <row r="163" spans="27:32" x14ac:dyDescent="0.2">
      <c r="AA163" t="s">
        <v>160</v>
      </c>
      <c r="AB163" t="str">
        <f>HLOOKUP($Q$2,$AD$4:$AK$800,AD163)</f>
        <v>COLUMN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B40=25, B41=10, D41=a and E41=b; press Run. A table with the simulation data will appear from the indicated cell. The table HEcan be deleted simply by by pressing the BUTTON IN COLUMN A of this vector. The value 0 for this cell disables this function. Only positive numerical values are accepted. The data can be used for other studies in Excel or other data analysis programs.</v>
      </c>
      <c r="AD163">
        <v>160</v>
      </c>
      <c r="AE163" t="str">
        <f>$AE$127</f>
        <v>COLUMN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B40=25, B41=10, D41=a and E41=b; press Run. A table with the simulation data will appear from the indicated cell. The table HEcan be deleted simply by by pressing the BUTTON IN COLUMN A of this vector. The value 0 for this cell disables this function. Only positive numerical values are accepted. The data can be used for other studies in Excel or other data analysis programs.</v>
      </c>
      <c r="AF163" t="str">
        <f>$AF$127</f>
        <v xml:space="preserve">NÚMERO DE COLUMNA para el inicio de una tabla de salida de datos durante la ejecución de un modelo. El número de columnas que tendrá la tabla es 9 con las coordenadas iniciales, finales y dos celdas más para fórmulas adicionales. El número de filas depende de la resolución de toma de datos del problema en particular. Para ver cómo funciona esta celda oprima New Sheet (Nueva hoja) seleccione el proyecto MOVIMIENTO PARABÓLICO de la lista y oprima +VECTOR, luego, para el vector velocidad coloque B40=25, B41=7, D41=a y E41=b; oprima Ejecutar (Run). Aparecerá, a partir de la celda indicada, una tabla con los datos de la simulación. La tabla sepuede borrar simplemente OPRIMIENO EL BOTÓN EN LA COLUMNA A DE ESTE VECTOR. En lugar de las letras a y b se pueden introducir otras funciones. El valor 0 para esta celda deshabilita esta función. Solo se aceptan valores numéricos positivos. Los datos pueden ser usados para otros estudios en Excel u otros programas de análisis de datos. </v>
      </c>
    </row>
    <row r="164" spans="27:32" x14ac:dyDescent="0.2">
      <c r="AA164" t="s">
        <v>163</v>
      </c>
      <c r="AB164" t="str">
        <f>HLOOKUP($Q$2,$AD$4:$AK$800,AD164)</f>
        <v>VECTOR LABEL. Enter here the vector label that will appear in the coordinate system next to the vector. PROPERTIES: If no value is entered, the vector will appear without a label in the system. You can also introduce variable label functions, see example in the QUADRUPOLE project for labels of the electric charges q1, q2, q3, q4.</v>
      </c>
      <c r="AD164">
        <v>161</v>
      </c>
      <c r="AE164" t="str">
        <f>$AE$119</f>
        <v>VECTOR LABEL. Enter here the vector label that will appear in the coordinate system next to the vector. PROPERTIES: If no value is entered, the vector will appear without a label in the system. You can also introduce variable label functions, see example in the QUADRUPOLE project for labels of the electric charges q1, q2, q3, q4.</v>
      </c>
      <c r="AF164" t="str">
        <f>$AF$119</f>
        <v>ETIQUETA DEL VECTOR. Ingrese aquí la etiqueta del vector que aparecerá en el sistema de coordenadas al lado del vector. PROPIEDADES: Si no se introduce ningún valor, el vector aparecerá sin etiqueta en el sistema de coordenadas. También se pueden introducir funciones de etiquetas variables, ver ejemplo en el proyecto CUADRUPOLO para etiquetas de las cargas q1, q2, q3, q4.</v>
      </c>
    </row>
    <row r="165" spans="27:32" x14ac:dyDescent="0.2">
      <c r="AA165" t="s">
        <v>166</v>
      </c>
      <c r="AB165" t="str">
        <f>HLOOKUP($Q$2,$AD$4:$AK$800,AD165)</f>
        <v>TYPE OF SHAPE to be represented in the coordinate system. The shape that is pre-established for ScienSolar is code 183.This shape is created in ScienSolar so that it perfectly represents a vector. However, you can use other forms for other purposes, but it should be noted that for codes other than 183 the rotations do not work correctly. PROPERTIES: values from 1 to 183 are accepted, negative values freeze their dimensions and do not obey rotation. Value 183 for vectors. Value 146 for a point in space. Value 200 to load a 3D object from the 3DModels sheet, thereby indicating the name of the object in the vector label (see as an example vector 2 of the 3D MODEL project). To easily view all shapes do the following: press RESET, then +VECTOR and enter the following values: B7 =I5, I3=1, I4=200, E5=60 and press the button --&gt; to navigate through the different values of I5, that is, B7. The value B=-114 allows loading a text box with indicator of a cell, for example B=-114 (negative), B9=15 and C9=4 will place the text box indicator in the cell that is in row 15 and column 4.</v>
      </c>
      <c r="AD165">
        <v>162</v>
      </c>
      <c r="AE165" t="str">
        <f>$AE$120</f>
        <v>TYPE OF SHAPE to be represented in the coordinate system. The shape that is pre-established for ScienSolar is code 183.This shape is created in ScienSolar so that it perfectly represents a vector. However, you can use other forms for other purposes, but it should be noted that for codes other than 183 the rotations do not work correctly. PROPERTIES: values from 1 to 183 are accepted, negative values freeze their dimensions and do not obey rotation. Value 183 for vectors. Value 146 for a point in space. Value 200 to load a 3D object from the 3DModels sheet, thereby indicating the name of the object in the vector label (see as an example vector 2 of the 3D MODEL project). To easily view all shapes do the following: press RESET, then +VECTOR and enter the following values: B7 =I5, I3=1, I4=200, E5=60 and press the button --&gt; to navigate through the different values of I5, that is, B7. The value B=-114 allows loading a text box with indicator of a cell, for example B=-114 (negative), B9=15 and C9=4 will place the text box indicator in the cell that is in row 15 and column 4.</v>
      </c>
      <c r="AF165" t="str">
        <f>$AF$120</f>
        <v>TIPO DE FORMA a representar en el sistema de coordenadas. La forma típica para ScienSolar es la de código 183. Esta forma está elaborada en ScienSolar para que represente perfectamente a un vector. Sin embargo se pueden utilizar otras formas para otros fines, pero cabe resaltar que para otros códigos diferentes a 183 las rotaciones  no funcionan correctamente. PROPIEDADES: se aceptan valores desde 1 hasta 183, los valores negativos congelan sus dimensiones y no obedecen a la rotación.  Valor 183 para vectores. Valor 146 para un punto en el espacio. Valor 200 para cargar un objeto 3D de la hoja 3DModels, con ello indicando en la etiqueta del vector el nombre del objeto (ver como ejemplo el vector 2 del proyecto MODELO 3D). Para visualizar  fácilmente todas las formas haga lo siguiente: oprima RESET (RESTABLECER), luego +VECTOR e introduzca los siguientes valores:  B7 =I5,  I3=1, I4=200, E5=60 y oprima el botón --&gt; para navegar por los diferentes valores de I5, es decir de B7.  El valor B=-114  permite cargar un cuadro de texto con indicador de una celda, por ejemplo B=-114 (negativo), B9=15 y C9=4 ubicará el indicador en la celda que está en la fila 15 y la columna 4.</v>
      </c>
    </row>
    <row r="166" spans="27:32" x14ac:dyDescent="0.2">
      <c r="AA166" t="s">
        <v>169</v>
      </c>
      <c r="AB166" t="str">
        <f>HLOOKUP($Q$2,$AD$4:$AK$800,AD166)</f>
        <v xml:space="preserve">VECTOR LINE TYPE_x000D_For a solid line, enter 1 and for different types of dotted lines, enter 2 to 12._x000D__x000D_CONTROL OF THE VECTOR SIZE IN THE COORDINATE SYSTEM_x000D_Change the size of the vectors by entering in the value of this cell an expression of the form 60*4, where instead of 60 any number greater than 15 is entered, thus indicating the percentage of the vector with respect to the size of the axes, and instead of 4 any number that indicates how sharply the field function changes. Use this setting especially in field mode to control that the size of the vectors does not exceed the size of the system coordinates, and the function of the field is controlled with the second number. For this function to be activated, the format 60*4 is required (the asterisk is mandatory, and without the equal sign). Remark: This function can change the actual appearance of the vectors. </v>
      </c>
      <c r="AD166">
        <v>163</v>
      </c>
      <c r="AE166" t="str">
        <f>$AE$121</f>
        <v xml:space="preserve">VECTOR LINE TYPE_x000D_For a solid line, enter 1 and for different types of dotted lines, enter 2 to 12._x000D__x000D_CONTROL OF THE VECTOR SIZE IN THE COORDINATE SYSTEM_x000D_Change the size of the vectors by entering in the value of this cell an expression of the form 60*4, where instead of 60 any number greater than 15 is entered, thus indicating the percentage of the vector with respect to the size of the axes, and instead of 4 any number that indicates how sharply the field function changes. Use this setting especially in field mode to control that the size of the vectors does not exceed the size of the system coordinates, and the function of the field is controlled with the second number. For this function to be activated, the format 60*4 is required (the asterisk is mandatory, and without the equal sign). Remark: This function can change the actual appearance of the vectors. </v>
      </c>
      <c r="AF166" t="str">
        <f>$AF$121</f>
        <v xml:space="preserve">TIPO DE LÍNEA DEL VECTOR_x000D_Para línea continua se introduce 1 y para diferentes tipos de línea punteada del 2 al 12._x000D__x000D_CONTROL DEL TAMAÑO DEL VECTOR EN EL SISTEMA DE COORDENADAS_x000D_Si el valor de esta celda es de la forma 60*4, en donde en lugar de 60 se introduce cualquier número  mayor que 15, se indica con esto el porcentaje del vector con respecto al tamaño de los ejes, y en lugar de 4 cualquier número  que indica el grado de agudeza con que la función del campo cambia. Utilice esta configuración especialmente en modo campo para controlar que el tamaño de los vectores no sobrepase el tamaño del sistema de coordenadas, y la función campo adquiera suavidad. Controle esta suavidad con el segundo número. Para que esta función se active es necesario el formato 60*4 (el asterisco es obligatorio, y sin el signo igual). Nota: esta función puede cambiar la apariencia real de los vectores. </v>
      </c>
    </row>
    <row r="167" spans="27:32" x14ac:dyDescent="0.2">
      <c r="AA167" t="s">
        <v>172</v>
      </c>
      <c r="AB167" t="str">
        <f>HLOOKUP($Q$2,$AD$4:$AK$800,AD167)</f>
        <v>Free cell for shape 183. For shape 200, the other rotation angle of the 3D object is entered here (see 3D MODEL project, vector2). For shape -114, the indicator position row.</v>
      </c>
      <c r="AD167">
        <v>164</v>
      </c>
      <c r="AE167" t="str">
        <f>$AE$122</f>
        <v>Free cell for shape 183. For shape 200, the other rotation angle of the 3D object is entered here (see 3D MODEL project, vector2). For shape -114, the indicator position row.</v>
      </c>
      <c r="AF167" t="str">
        <f>$AF$122</f>
        <v>Celda libre para la forma 183. Para la forma 200 se introduce aquí el otro ángulo de rotación del objeto 3D (ver proyecto MODELO 3D, vector2). Para la forma -114 se introduce aquí la fila de posición del indicador.</v>
      </c>
    </row>
    <row r="168" spans="27:32" x14ac:dyDescent="0.2">
      <c r="AA168" t="s">
        <v>175</v>
      </c>
      <c r="AB168" t="str">
        <f>HLOOKUP($Q$2,$AD$4:$AK$800,AD168)</f>
        <v xml:space="preserve">This cell indicates the initial position on the Y axis of the current vector. When working in FIELD mode, the code automatically deletes the data in this cell and replaces it with =B11, since in B11 all the initial values of the Y coordinates of the given field vectors will be traversed (in field mode) for a range in the Y coordinate. In this cell the user can enter constant values as well as functions.To see how it works, in a new ScienSolar sheet add a new vector and put in A12 = 4, B12 = 3, C12 = 0. Press XYZ, Put in other values and observe the changes in the coordinate system. </v>
      </c>
      <c r="AD168">
        <v>165</v>
      </c>
      <c r="AE168" t="str">
        <f>$AE$123</f>
        <v xml:space="preserve">This cell indicates the initial position on the Y axis of the current vector. When working in FIELD mode, the code automatically deletes the data in this cell and replaces it with =B11, since in B11 all the initial values of the Y coordinates of the given field vectors will be traversed (in field mode) for a range in the Y coordinate. In this cell the user can enter constant values as well as functions.To see how it works, in a new ScienSolar sheet add a new vector and put in A12 = 4, B12 = 3, C12 = 0. Press XYZ, Put in other values and observe the changes in the coordinate system. </v>
      </c>
      <c r="AF168" t="str">
        <f>$AF$123</f>
        <v xml:space="preserve">Esta celda indica la posición inicial en el eje Y del vector actual. Cuando se trabaja en modo CAMPO, el código automáticamente borra los datos de esta celda y los reemplaza por =B11, puesto que en B11 se recorrerán (en modo campo) todos los valores iniciales de las coordenadas en Y de los vectores del campo dados para un rango en la coordenada Y. En esta celda el usuario puede introducir valores constantes así como funciones.Para ver como funciona, en una nueva hoja de ScienSolar agregue un nuevo vector y en A12 = 4, B12= 3, C12 = 0. Oprima XYZ, Ponga otros valores y observe los cambios en el sistema de coordenadas. </v>
      </c>
    </row>
    <row r="169" spans="27:32" x14ac:dyDescent="0.2">
      <c r="AA169" t="s">
        <v>178</v>
      </c>
      <c r="AB169" t="str">
        <f>HLOOKUP($Q$2,$AD$4:$AK$800,AD169)</f>
        <v>This cell is used by the code when working in FIELD MODE to cycle through all coordinate values as variables. In other words, this cell is equivalent to the Y variable when working with a function f(y). As an example of using this cell, see the ELECTRIC DIPOLE, CYLINDRICAL SYMMETRY and SPHERICAL SYMMETRY projects. For scalar fields, see the FUNCTIONS project.</v>
      </c>
      <c r="AD169">
        <v>166</v>
      </c>
      <c r="AE169" t="str">
        <f>$AE$124</f>
        <v>This cell is used by the code when working in FIELD MODE to cycle through all coordinate values as variables. In other words, this cell is equivalent to the Y variable when working with a function f(y). As an example of using this cell, see the ELECTRIC DIPOLE, CYLINDRICAL SYMMETRY and SPHERICAL SYMMETRY projects. For scalar fields, see the FUNCTIONS project.</v>
      </c>
      <c r="AF169" t="str">
        <f>$AF$124</f>
        <v>Esta celda es usada por el código cuando se trabaja en MODO CAMPO para recorrer todos los valores de las coordenadas como variables. Dicho de otra manera, esta celda equivale a la variable y cuando se trabaja con una función f(y). Como ejemplo de uso de esta celda ver los proyectos DIPOLO ELÉCTRICO, SIMETRÍA CILÍNDRICA y SIMETRÍA ESFÉRICA. Para campos escalares ver el proyecto FUNCIONES.</v>
      </c>
    </row>
    <row r="170" spans="27:32" x14ac:dyDescent="0.2">
      <c r="AA170" t="s">
        <v>181</v>
      </c>
      <c r="AB170" t="str">
        <f>HLOOKUP($Q$2,$AD$4:$AK$800,AD170)</f>
        <v>In this cell the value of the coordinate on the Y axis of the vector is entered. When working in FIELD MODE, the function corresponding to the Y axis of the vector field is entered here. As an example of use of this cell see the ELECTRICAL DIPOLE, CYLINDRICAL SYMMETRY and SPHERICAL SYMMETRY projects. For scalar fields see the FUNCTIONS project.</v>
      </c>
      <c r="AD170">
        <v>167</v>
      </c>
      <c r="AE170" t="str">
        <f>$AE$125</f>
        <v>In this cell the value of the coordinate on the Y axis of the vector is entered. When working in FIELD MODE, the function corresponding to the Y axis of the vector field is entered here. As an example of use of this cell see the ELECTRICAL DIPOLE, CYLINDRICAL SYMMETRY and SPHERICAL SYMMETRY projects. For scalar fields see the FUNCTIONS project.</v>
      </c>
      <c r="AF170" t="str">
        <f>$AF$125</f>
        <v>En esta celda se introduce el valor de la coordenada en el eje Y del vector. Cuando se trabaja en MODO CAMPO, se introduce aquí la función correspondiente al eje Y del campo vectorial. Como ejemplo de uso de esta celda ver los proyectos DIPOLO ELÉCTRICO, SIMETRÍA CILÍNDRICA y SIMETRÍA ESFÉRICA. Para campos escalares ver el proyecto FUNCIONES.</v>
      </c>
    </row>
    <row r="171" spans="27:32" x14ac:dyDescent="0.2">
      <c r="AA171" t="s">
        <v>184</v>
      </c>
      <c r="AB171" t="str">
        <f>HLOOKUP($Q$2,$AD$4:$AK$800,AD171)</f>
        <v>ROW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B40=30, B41=10, D41=a and E41=b; press Run. A table with the simulation data will appear from the indicated cell. The table can be deleted simply by pressing the BUTTON IN COLUMN A of this vector. The value 0 for this cell disables this function. Only positive numerical values are accepted. The data can be used for other studies in Excel or other data analysis programs.</v>
      </c>
      <c r="AD171">
        <v>168</v>
      </c>
      <c r="AE171" t="str">
        <f>$AE$126</f>
        <v>ROW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B40=30, B41=10, D41=a and E41=b; press Run. A table with the simulation data will appear from the indicated cell. The table can be deleted simply by pressing the BUTTON IN COLUMN A of this vector. The value 0 for this cell disables this function. Only positive numerical values are accepted. The data can be used for other studies in Excel or other data analysis programs.</v>
      </c>
      <c r="AF171" t="str">
        <f>$AF$126</f>
        <v xml:space="preserve">NÚMERO DE FILA para el inicio de una tabla de salida de datos durante la ejecución de un modelo. El número de columnas que tendrá la tabla es 9 con las coordenadas iniciales, finales y dos celdas más para fórmulas adicionales. El número de filas depende de la resolución de toma de datos del problema en particular. Para ver cómo funciona esta celda oprima New Sheet (Nueva hoja) seleccione el proyecto MOVIMIENTO PARABÓLICO de la lista y oprima +VECTOR, luego, para el vector velocidad coloque B40=30, B41=10, D41=a y E41=b; oprima Ejecutar (Run). Aparecerá, a partir de la celda indicada, una tabla con los datos de la simulación. La tabla sepuede borrar simplemente OPRIMIENO EL BOTÓN EN LA COLUMNA A DE ESTE VECTOR. En lugar de las letras a y b se pueden introducir otras funciones. El valor 0 para esta celda deshabilita esta función. Solo se aceptan valores numéricos positivos. Los datos pueden ser usados para otros estudios en Excel u otros programas de análisis de datos. </v>
      </c>
    </row>
    <row r="172" spans="27:32" x14ac:dyDescent="0.2">
      <c r="AA172" t="s">
        <v>187</v>
      </c>
      <c r="AB172" t="str">
        <f>HLOOKUP($Q$2,$AD$4:$AK$800,AD172)</f>
        <v>COLUMN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B40=25, B41=10, D41=a and E41=b; press Run. A table with the simulation data will appear from the indicated cell. The table HEcan be deleted simply by by pressing the BUTTON IN COLUMN A of this vector. The value 0 for this cell disables this function. Only positive numerical values are accepted. The data can be used for other studies in Excel or other data analysis programs.</v>
      </c>
      <c r="AD172">
        <v>169</v>
      </c>
      <c r="AE172" t="str">
        <f>$AE$127</f>
        <v>COLUMN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B40=25, B41=10, D41=a and E41=b; press Run. A table with the simulation data will appear from the indicated cell. The table HEcan be deleted simply by by pressing the BUTTON IN COLUMN A of this vector. The value 0 for this cell disables this function. Only positive numerical values are accepted. The data can be used for other studies in Excel or other data analysis programs.</v>
      </c>
      <c r="AF172" t="str">
        <f>$AF$127</f>
        <v xml:space="preserve">NÚMERO DE COLUMNA para el inicio de una tabla de salida de datos durante la ejecución de un modelo. El número de columnas que tendrá la tabla es 9 con las coordenadas iniciales, finales y dos celdas más para fórmulas adicionales. El número de filas depende de la resolución de toma de datos del problema en particular. Para ver cómo funciona esta celda oprima New Sheet (Nueva hoja) seleccione el proyecto MOVIMIENTO PARABÓLICO de la lista y oprima +VECTOR, luego, para el vector velocidad coloque B40=25, B41=7, D41=a y E41=b; oprima Ejecutar (Run). Aparecerá, a partir de la celda indicada, una tabla con los datos de la simulación. La tabla sepuede borrar simplemente OPRIMIENO EL BOTÓN EN LA COLUMNA A DE ESTE VECTOR. En lugar de las letras a y b se pueden introducir otras funciones. El valor 0 para esta celda deshabilita esta función. Solo se aceptan valores numéricos positivos. Los datos pueden ser usados para otros estudios en Excel u otros programas de análisis de datos. </v>
      </c>
    </row>
    <row r="173" spans="27:32" x14ac:dyDescent="0.2">
      <c r="AA173" t="s">
        <v>190</v>
      </c>
      <c r="AB173" t="str">
        <f>HLOOKUP($Q$2,$AD$4:$AK$800,AD173)</f>
        <v>VECTOR LABEL. Enter here the vector label that will appear in the coordinate system next to the vector. PROPERTIES: If no value is entered, the vector will appear without a label in the system. You can also introduce variable label functions, see example in the QUADRUPOLE project for labels of the electric charges q1, q2, q3, q4.</v>
      </c>
      <c r="AD173">
        <v>170</v>
      </c>
      <c r="AE173" t="str">
        <f>$AE$119</f>
        <v>VECTOR LABEL. Enter here the vector label that will appear in the coordinate system next to the vector. PROPERTIES: If no value is entered, the vector will appear without a label in the system. You can also introduce variable label functions, see example in the QUADRUPOLE project for labels of the electric charges q1, q2, q3, q4.</v>
      </c>
      <c r="AF173" t="str">
        <f>$AF$119</f>
        <v>ETIQUETA DEL VECTOR. Ingrese aquí la etiqueta del vector que aparecerá en el sistema de coordenadas al lado del vector. PROPIEDADES: Si no se introduce ningún valor, el vector aparecerá sin etiqueta en el sistema de coordenadas. También se pueden introducir funciones de etiquetas variables, ver ejemplo en el proyecto CUADRUPOLO para etiquetas de las cargas q1, q2, q3, q4.</v>
      </c>
    </row>
    <row r="174" spans="27:32" x14ac:dyDescent="0.2">
      <c r="AA174" t="s">
        <v>193</v>
      </c>
      <c r="AB174" t="str">
        <f>HLOOKUP($Q$2,$AD$4:$AK$800,AD174)</f>
        <v>TYPE OF SHAPE to be represented in the coordinate system. The shape that is pre-established for ScienSolar is code 183.This shape is created in ScienSolar so that it perfectly represents a vector. However, you can use other forms for other purposes, but it should be noted that for codes other than 183 the rotations do not work correctly. PROPERTIES: values from 1 to 183 are accepted, negative values freeze their dimensions and do not obey rotation. Value 183 for vectors. Value 146 for a point in space. Value 200 to load a 3D object from the 3DModels sheet, thereby indicating the name of the object in the vector label (see as an example vector 2 of the 3D MODEL project). To easily view all shapes do the following: press RESET, then +VECTOR and enter the following values: B7 =I5, I3=1, I4=200, E5=60 and press the button --&gt; to navigate through the different values of I5, that is, B7. The value B=-114 allows loading a text box with indicator of a cell, for example B=-114 (negative), B9=15 and C9=4 will place the text box indicator in the cell that is in row 15 and column 4.</v>
      </c>
      <c r="AD174">
        <v>171</v>
      </c>
      <c r="AE174" t="str">
        <f>$AE$120</f>
        <v>TYPE OF SHAPE to be represented in the coordinate system. The shape that is pre-established for ScienSolar is code 183.This shape is created in ScienSolar so that it perfectly represents a vector. However, you can use other forms for other purposes, but it should be noted that for codes other than 183 the rotations do not work correctly. PROPERTIES: values from 1 to 183 are accepted, negative values freeze their dimensions and do not obey rotation. Value 183 for vectors. Value 146 for a point in space. Value 200 to load a 3D object from the 3DModels sheet, thereby indicating the name of the object in the vector label (see as an example vector 2 of the 3D MODEL project). To easily view all shapes do the following: press RESET, then +VECTOR and enter the following values: B7 =I5, I3=1, I4=200, E5=60 and press the button --&gt; to navigate through the different values of I5, that is, B7. The value B=-114 allows loading a text box with indicator of a cell, for example B=-114 (negative), B9=15 and C9=4 will place the text box indicator in the cell that is in row 15 and column 4.</v>
      </c>
      <c r="AF174" t="str">
        <f>$AF$120</f>
        <v>TIPO DE FORMA a representar en el sistema de coordenadas. La forma típica para ScienSolar es la de código 183. Esta forma está elaborada en ScienSolar para que represente perfectamente a un vector. Sin embargo se pueden utilizar otras formas para otros fines, pero cabe resaltar que para otros códigos diferentes a 183 las rotaciones  no funcionan correctamente. PROPIEDADES: se aceptan valores desde 1 hasta 183, los valores negativos congelan sus dimensiones y no obedecen a la rotación.  Valor 183 para vectores. Valor 146 para un punto en el espacio. Valor 200 para cargar un objeto 3D de la hoja 3DModels, con ello indicando en la etiqueta del vector el nombre del objeto (ver como ejemplo el vector 2 del proyecto MODELO 3D). Para visualizar  fácilmente todas las formas haga lo siguiente: oprima RESET (RESTABLECER), luego +VECTOR e introduzca los siguientes valores:  B7 =I5,  I3=1, I4=200, E5=60 y oprima el botón --&gt; para navegar por los diferentes valores de I5, es decir de B7.  El valor B=-114  permite cargar un cuadro de texto con indicador de una celda, por ejemplo B=-114 (negativo), B9=15 y C9=4 ubicará el indicador en la celda que está en la fila 15 y la columna 4.</v>
      </c>
    </row>
    <row r="175" spans="27:32" x14ac:dyDescent="0.2">
      <c r="AA175" t="s">
        <v>196</v>
      </c>
      <c r="AB175" t="str">
        <f>HLOOKUP($Q$2,$AD$4:$AK$800,AD175)</f>
        <v xml:space="preserve">VECTOR LINE TYPE_x000D_For a solid line, enter 1 and for different types of dotted lines, enter 2 to 12._x000D__x000D_CONTROL OF THE VECTOR SIZE IN THE COORDINATE SYSTEM_x000D_Change the size of the vectors by entering in the value of this cell an expression of the form 60*4, where instead of 60 any number greater than 15 is entered, thus indicating the percentage of the vector with respect to the size of the axes, and instead of 4 any number that indicates how sharply the field function changes. Use this setting especially in field mode to control that the size of the vectors does not exceed the size of the system coordinates, and the function of the field is controlled with the second number. For this function to be activated, the format 60*4 is required (the asterisk is mandatory, and without the equal sign). Remark: This function can change the actual appearance of the vectors. </v>
      </c>
      <c r="AD175">
        <v>172</v>
      </c>
      <c r="AE175" t="str">
        <f>$AE$121</f>
        <v xml:space="preserve">VECTOR LINE TYPE_x000D_For a solid line, enter 1 and for different types of dotted lines, enter 2 to 12._x000D__x000D_CONTROL OF THE VECTOR SIZE IN THE COORDINATE SYSTEM_x000D_Change the size of the vectors by entering in the value of this cell an expression of the form 60*4, where instead of 60 any number greater than 15 is entered, thus indicating the percentage of the vector with respect to the size of the axes, and instead of 4 any number that indicates how sharply the field function changes. Use this setting especially in field mode to control that the size of the vectors does not exceed the size of the system coordinates, and the function of the field is controlled with the second number. For this function to be activated, the format 60*4 is required (the asterisk is mandatory, and without the equal sign). Remark: This function can change the actual appearance of the vectors. </v>
      </c>
      <c r="AF175" t="str">
        <f>$AF$121</f>
        <v xml:space="preserve">TIPO DE LÍNEA DEL VECTOR_x000D_Para línea continua se introduce 1 y para diferentes tipos de línea punteada del 2 al 12._x000D__x000D_CONTROL DEL TAMAÑO DEL VECTOR EN EL SISTEMA DE COORDENADAS_x000D_Si el valor de esta celda es de la forma 60*4, en donde en lugar de 60 se introduce cualquier número  mayor que 15, se indica con esto el porcentaje del vector con respecto al tamaño de los ejes, y en lugar de 4 cualquier número  que indica el grado de agudeza con que la función del campo cambia. Utilice esta configuración especialmente en modo campo para controlar que el tamaño de los vectores no sobrepase el tamaño del sistema de coordenadas, y la función campo adquiera suavidad. Controle esta suavidad con el segundo número. Para que esta función se active es necesario el formato 60*4 (el asterisco es obligatorio, y sin el signo igual). Nota: esta función puede cambiar la apariencia real de los vectores. </v>
      </c>
    </row>
    <row r="176" spans="27:32" x14ac:dyDescent="0.2">
      <c r="AA176" t="s">
        <v>199</v>
      </c>
      <c r="AB176" t="str">
        <f>HLOOKUP($Q$2,$AD$4:$AK$800,AD176)</f>
        <v>Free cell for shape 183. For shape 200, the other rotation angle of the 3D object is entered here (see 3D MODEL project, vector2). For shape -114, the indicator position row.</v>
      </c>
      <c r="AD176">
        <v>173</v>
      </c>
      <c r="AE176" t="str">
        <f>$AE$122</f>
        <v>Free cell for shape 183. For shape 200, the other rotation angle of the 3D object is entered here (see 3D MODEL project, vector2). For shape -114, the indicator position row.</v>
      </c>
      <c r="AF176" t="str">
        <f>$AF$122</f>
        <v>Celda libre para la forma 183. Para la forma 200 se introduce aquí el otro ángulo de rotación del objeto 3D (ver proyecto MODELO 3D, vector2). Para la forma -114 se introduce aquí la fila de posición del indicador.</v>
      </c>
    </row>
    <row r="177" spans="27:32" x14ac:dyDescent="0.2">
      <c r="AA177" t="s">
        <v>202</v>
      </c>
      <c r="AB177" t="str">
        <f>HLOOKUP($Q$2,$AD$4:$AK$800,AD177)</f>
        <v xml:space="preserve">This cell indicates the initial position on the Y axis of the current vector. When working in FIELD mode, the code automatically deletes the data in this cell and replaces it with =B11, since in B11 all the initial values of the Y coordinates of the given field vectors will be traversed (in field mode) for a range in the Y coordinate. In this cell the user can enter constant values as well as functions.To see how it works, in a new ScienSolar sheet add a new vector and put in A12 = 4, B12 = 3, C12 = 0. Press XYZ, Put in other values and observe the changes in the coordinate system. </v>
      </c>
      <c r="AD177">
        <v>174</v>
      </c>
      <c r="AE177" t="str">
        <f>$AE$123</f>
        <v xml:space="preserve">This cell indicates the initial position on the Y axis of the current vector. When working in FIELD mode, the code automatically deletes the data in this cell and replaces it with =B11, since in B11 all the initial values of the Y coordinates of the given field vectors will be traversed (in field mode) for a range in the Y coordinate. In this cell the user can enter constant values as well as functions.To see how it works, in a new ScienSolar sheet add a new vector and put in A12 = 4, B12 = 3, C12 = 0. Press XYZ, Put in other values and observe the changes in the coordinate system. </v>
      </c>
      <c r="AF177" t="str">
        <f>$AF$123</f>
        <v xml:space="preserve">Esta celda indica la posición inicial en el eje Y del vector actual. Cuando se trabaja en modo CAMPO, el código automáticamente borra los datos de esta celda y los reemplaza por =B11, puesto que en B11 se recorrerán (en modo campo) todos los valores iniciales de las coordenadas en Y de los vectores del campo dados para un rango en la coordenada Y. En esta celda el usuario puede introducir valores constantes así como funciones.Para ver como funciona, en una nueva hoja de ScienSolar agregue un nuevo vector y en A12 = 4, B12= 3, C12 = 0. Oprima XYZ, Ponga otros valores y observe los cambios en el sistema de coordenadas. </v>
      </c>
    </row>
    <row r="178" spans="27:32" x14ac:dyDescent="0.2">
      <c r="AA178" t="s">
        <v>205</v>
      </c>
      <c r="AB178" t="str">
        <f>HLOOKUP($Q$2,$AD$4:$AK$800,AD178)</f>
        <v>This cell is used by the code when working in FIELD MODE to cycle through all coordinate values as variables. In other words, this cell is equivalent to the Y variable when working with a function f(y). As an example of using this cell, see the ELECTRIC DIPOLE, CYLINDRICAL SYMMETRY and SPHERICAL SYMMETRY projects. For scalar fields, see the FUNCTIONS project.</v>
      </c>
      <c r="AD178">
        <v>175</v>
      </c>
      <c r="AE178" t="str">
        <f>$AE$124</f>
        <v>This cell is used by the code when working in FIELD MODE to cycle through all coordinate values as variables. In other words, this cell is equivalent to the Y variable when working with a function f(y). As an example of using this cell, see the ELECTRIC DIPOLE, CYLINDRICAL SYMMETRY and SPHERICAL SYMMETRY projects. For scalar fields, see the FUNCTIONS project.</v>
      </c>
      <c r="AF178" t="str">
        <f>$AF$124</f>
        <v>Esta celda es usada por el código cuando se trabaja en MODO CAMPO para recorrer todos los valores de las coordenadas como variables. Dicho de otra manera, esta celda equivale a la variable y cuando se trabaja con una función f(y). Como ejemplo de uso de esta celda ver los proyectos DIPOLO ELÉCTRICO, SIMETRÍA CILÍNDRICA y SIMETRÍA ESFÉRICA. Para campos escalares ver el proyecto FUNCIONES.</v>
      </c>
    </row>
    <row r="179" spans="27:32" x14ac:dyDescent="0.2">
      <c r="AA179" t="s">
        <v>208</v>
      </c>
      <c r="AB179" t="str">
        <f>HLOOKUP($Q$2,$AD$4:$AK$800,AD179)</f>
        <v>In this cell the value of the coordinate on the Y axis of the vector is entered. When working in FIELD MODE, the function corresponding to the Y axis of the vector field is entered here. As an example of use of this cell see the ELECTRICAL DIPOLE, CYLINDRICAL SYMMETRY and SPHERICAL SYMMETRY projects. For scalar fields see the FUNCTIONS project.</v>
      </c>
      <c r="AD179">
        <v>176</v>
      </c>
      <c r="AE179" t="str">
        <f>$AE$125</f>
        <v>In this cell the value of the coordinate on the Y axis of the vector is entered. When working in FIELD MODE, the function corresponding to the Y axis of the vector field is entered here. As an example of use of this cell see the ELECTRICAL DIPOLE, CYLINDRICAL SYMMETRY and SPHERICAL SYMMETRY projects. For scalar fields see the FUNCTIONS project.</v>
      </c>
      <c r="AF179" t="str">
        <f>$AF$125</f>
        <v>En esta celda se introduce el valor de la coordenada en el eje Y del vector. Cuando se trabaja en MODO CAMPO, se introduce aquí la función correspondiente al eje Y del campo vectorial. Como ejemplo de uso de esta celda ver los proyectos DIPOLO ELÉCTRICO, SIMETRÍA CILÍNDRICA y SIMETRÍA ESFÉRICA. Para campos escalares ver el proyecto FUNCIONES.</v>
      </c>
    </row>
    <row r="180" spans="27:32" x14ac:dyDescent="0.2">
      <c r="AA180" t="s">
        <v>211</v>
      </c>
      <c r="AB180" t="str">
        <f>HLOOKUP($Q$2,$AD$4:$AK$800,AD180)</f>
        <v>ROW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B40=30, B41=10, D41=a and E41=b; press Run. A table with the simulation data will appear from the indicated cell. The table can be deleted simply by pressing the BUTTON IN COLUMN A of this vector. The value 0 for this cell disables this function. Only positive numerical values are accepted. The data can be used for other studies in Excel or other data analysis programs.</v>
      </c>
      <c r="AD180">
        <v>177</v>
      </c>
      <c r="AE180" t="str">
        <f>$AE$126</f>
        <v>ROW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B40=30, B41=10, D41=a and E41=b; press Run. A table with the simulation data will appear from the indicated cell. The table can be deleted simply by pressing the BUTTON IN COLUMN A of this vector. The value 0 for this cell disables this function. Only positive numerical values are accepted. The data can be used for other studies in Excel or other data analysis programs.</v>
      </c>
      <c r="AF180" t="str">
        <f>$AF$126</f>
        <v xml:space="preserve">NÚMERO DE FILA para el inicio de una tabla de salida de datos durante la ejecución de un modelo. El número de columnas que tendrá la tabla es 9 con las coordenadas iniciales, finales y dos celdas más para fórmulas adicionales. El número de filas depende de la resolución de toma de datos del problema en particular. Para ver cómo funciona esta celda oprima New Sheet (Nueva hoja) seleccione el proyecto MOVIMIENTO PARABÓLICO de la lista y oprima +VECTOR, luego, para el vector velocidad coloque B40=30, B41=10, D41=a y E41=b; oprima Ejecutar (Run). Aparecerá, a partir de la celda indicada, una tabla con los datos de la simulación. La tabla sepuede borrar simplemente OPRIMIENO EL BOTÓN EN LA COLUMNA A DE ESTE VECTOR. En lugar de las letras a y b se pueden introducir otras funciones. El valor 0 para esta celda deshabilita esta función. Solo se aceptan valores numéricos positivos. Los datos pueden ser usados para otros estudios en Excel u otros programas de análisis de datos. </v>
      </c>
    </row>
    <row r="181" spans="27:32" x14ac:dyDescent="0.2">
      <c r="AA181" t="s">
        <v>214</v>
      </c>
      <c r="AB181" t="str">
        <f>HLOOKUP($Q$2,$AD$4:$AK$800,AD181)</f>
        <v>COLUMN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B40=25, B41=10, D41=a and E41=b; press Run. A table with the simulation data will appear from the indicated cell. The table HEcan be deleted simply by by pressing the BUTTON IN COLUMN A of this vector. The value 0 for this cell disables this function. Only positive numerical values are accepted. The data can be used for other studies in Excel or other data analysis programs.</v>
      </c>
      <c r="AD181">
        <v>178</v>
      </c>
      <c r="AE181" t="str">
        <f>$AE$127</f>
        <v>COLUMN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B40=25, B41=10, D41=a and E41=b; press Run. A table with the simulation data will appear from the indicated cell. The table HEcan be deleted simply by by pressing the BUTTON IN COLUMN A of this vector. The value 0 for this cell disables this function. Only positive numerical values are accepted. The data can be used for other studies in Excel or other data analysis programs.</v>
      </c>
      <c r="AF181" t="str">
        <f>$AF$127</f>
        <v xml:space="preserve">NÚMERO DE COLUMNA para el inicio de una tabla de salida de datos durante la ejecución de un modelo. El número de columnas que tendrá la tabla es 9 con las coordenadas iniciales, finales y dos celdas más para fórmulas adicionales. El número de filas depende de la resolución de toma de datos del problema en particular. Para ver cómo funciona esta celda oprima New Sheet (Nueva hoja) seleccione el proyecto MOVIMIENTO PARABÓLICO de la lista y oprima +VECTOR, luego, para el vector velocidad coloque B40=25, B41=7, D41=a y E41=b; oprima Ejecutar (Run). Aparecerá, a partir de la celda indicada, una tabla con los datos de la simulación. La tabla sepuede borrar simplemente OPRIMIENO EL BOTÓN EN LA COLUMNA A DE ESTE VECTOR. En lugar de las letras a y b se pueden introducir otras funciones. El valor 0 para esta celda deshabilita esta función. Solo se aceptan valores numéricos positivos. Los datos pueden ser usados para otros estudios en Excel u otros programas de análisis de datos. </v>
      </c>
    </row>
    <row r="182" spans="27:32" x14ac:dyDescent="0.2">
      <c r="AA182" t="s">
        <v>217</v>
      </c>
      <c r="AB182" t="str">
        <f>HLOOKUP($Q$2,$AD$4:$AK$800,AD182)</f>
        <v>VECTOR LABEL. Enter here the vector label that will appear in the coordinate system next to the vector. PROPERTIES: If no value is entered, the vector will appear without a label in the system. You can also introduce variable label functions, see example in the QUADRUPOLE project for labels of the electric charges q1, q2, q3, q4.</v>
      </c>
      <c r="AD182">
        <v>179</v>
      </c>
      <c r="AE182" t="str">
        <f>$AE$119</f>
        <v>VECTOR LABEL. Enter here the vector label that will appear in the coordinate system next to the vector. PROPERTIES: If no value is entered, the vector will appear without a label in the system. You can also introduce variable label functions, see example in the QUADRUPOLE project for labels of the electric charges q1, q2, q3, q4.</v>
      </c>
      <c r="AF182" t="str">
        <f>$AF$119</f>
        <v>ETIQUETA DEL VECTOR. Ingrese aquí la etiqueta del vector que aparecerá en el sistema de coordenadas al lado del vector. PROPIEDADES: Si no se introduce ningún valor, el vector aparecerá sin etiqueta en el sistema de coordenadas. También se pueden introducir funciones de etiquetas variables, ver ejemplo en el proyecto CUADRUPOLO para etiquetas de las cargas q1, q2, q3, q4.</v>
      </c>
    </row>
    <row r="183" spans="27:32" x14ac:dyDescent="0.2">
      <c r="AA183" t="s">
        <v>220</v>
      </c>
      <c r="AB183" t="str">
        <f>HLOOKUP($Q$2,$AD$4:$AK$800,AD183)</f>
        <v>TYPE OF SHAPE to be represented in the coordinate system. The shape that is pre-established for ScienSolar is code 183.This shape is created in ScienSolar so that it perfectly represents a vector. However, you can use other forms for other purposes, but it should be noted that for codes other than 183 the rotations do not work correctly. PROPERTIES: values from 1 to 183 are accepted, negative values freeze their dimensions and do not obey rotation. Value 183 for vectors. Value 146 for a point in space. Value 200 to load a 3D object from the 3DModels sheet, thereby indicating the name of the object in the vector label (see as an example vector 2 of the 3D MODEL project). To easily view all shapes do the following: press RESET, then +VECTOR and enter the following values: B7 =I5, I3=1, I4=200, E5=60 and press the button --&gt; to navigate through the different values of I5, that is, B7. The value B=-114 allows loading a text box with indicator of a cell, for example B=-114 (negative), B9=15 and C9=4 will place the text box indicator in the cell that is in row 15 and column 4.</v>
      </c>
      <c r="AD183">
        <v>180</v>
      </c>
      <c r="AE183" t="str">
        <f>$AE$120</f>
        <v>TYPE OF SHAPE to be represented in the coordinate system. The shape that is pre-established for ScienSolar is code 183.This shape is created in ScienSolar so that it perfectly represents a vector. However, you can use other forms for other purposes, but it should be noted that for codes other than 183 the rotations do not work correctly. PROPERTIES: values from 1 to 183 are accepted, negative values freeze their dimensions and do not obey rotation. Value 183 for vectors. Value 146 for a point in space. Value 200 to load a 3D object from the 3DModels sheet, thereby indicating the name of the object in the vector label (see as an example vector 2 of the 3D MODEL project). To easily view all shapes do the following: press RESET, then +VECTOR and enter the following values: B7 =I5, I3=1, I4=200, E5=60 and press the button --&gt; to navigate through the different values of I5, that is, B7. The value B=-114 allows loading a text box with indicator of a cell, for example B=-114 (negative), B9=15 and C9=4 will place the text box indicator in the cell that is in row 15 and column 4.</v>
      </c>
      <c r="AF183" t="str">
        <f>$AF$120</f>
        <v>TIPO DE FORMA a representar en el sistema de coordenadas. La forma típica para ScienSolar es la de código 183. Esta forma está elaborada en ScienSolar para que represente perfectamente a un vector. Sin embargo se pueden utilizar otras formas para otros fines, pero cabe resaltar que para otros códigos diferentes a 183 las rotaciones  no funcionan correctamente. PROPIEDADES: se aceptan valores desde 1 hasta 183, los valores negativos congelan sus dimensiones y no obedecen a la rotación.  Valor 183 para vectores. Valor 146 para un punto en el espacio. Valor 200 para cargar un objeto 3D de la hoja 3DModels, con ello indicando en la etiqueta del vector el nombre del objeto (ver como ejemplo el vector 2 del proyecto MODELO 3D). Para visualizar  fácilmente todas las formas haga lo siguiente: oprima RESET (RESTABLECER), luego +VECTOR e introduzca los siguientes valores:  B7 =I5,  I3=1, I4=200, E5=60 y oprima el botón --&gt; para navegar por los diferentes valores de I5, es decir de B7.  El valor B=-114  permite cargar un cuadro de texto con indicador de una celda, por ejemplo B=-114 (negativo), B9=15 y C9=4 ubicará el indicador en la celda que está en la fila 15 y la columna 4.</v>
      </c>
    </row>
    <row r="184" spans="27:32" x14ac:dyDescent="0.2">
      <c r="AA184" t="s">
        <v>223</v>
      </c>
      <c r="AB184" t="str">
        <f>HLOOKUP($Q$2,$AD$4:$AK$800,AD184)</f>
        <v xml:space="preserve">VECTOR LINE TYPE_x000D_For a solid line, enter 1 and for different types of dotted lines, enter 2 to 12._x000D__x000D_CONTROL OF THE VECTOR SIZE IN THE COORDINATE SYSTEM_x000D_Change the size of the vectors by entering in the value of this cell an expression of the form 60*4, where instead of 60 any number greater than 15 is entered, thus indicating the percentage of the vector with respect to the size of the axes, and instead of 4 any number that indicates how sharply the field function changes. Use this setting especially in field mode to control that the size of the vectors does not exceed the size of the system coordinates, and the function of the field is controlled with the second number. For this function to be activated, the format 60*4 is required (the asterisk is mandatory, and without the equal sign). Remark: This function can change the actual appearance of the vectors. </v>
      </c>
      <c r="AD184">
        <v>181</v>
      </c>
      <c r="AE184" t="str">
        <f>$AE$121</f>
        <v xml:space="preserve">VECTOR LINE TYPE_x000D_For a solid line, enter 1 and for different types of dotted lines, enter 2 to 12._x000D__x000D_CONTROL OF THE VECTOR SIZE IN THE COORDINATE SYSTEM_x000D_Change the size of the vectors by entering in the value of this cell an expression of the form 60*4, where instead of 60 any number greater than 15 is entered, thus indicating the percentage of the vector with respect to the size of the axes, and instead of 4 any number that indicates how sharply the field function changes. Use this setting especially in field mode to control that the size of the vectors does not exceed the size of the system coordinates, and the function of the field is controlled with the second number. For this function to be activated, the format 60*4 is required (the asterisk is mandatory, and without the equal sign). Remark: This function can change the actual appearance of the vectors. </v>
      </c>
      <c r="AF184" t="str">
        <f>$AF$121</f>
        <v xml:space="preserve">TIPO DE LÍNEA DEL VECTOR_x000D_Para línea continua se introduce 1 y para diferentes tipos de línea punteada del 2 al 12._x000D__x000D_CONTROL DEL TAMAÑO DEL VECTOR EN EL SISTEMA DE COORDENADAS_x000D_Si el valor de esta celda es de la forma 60*4, en donde en lugar de 60 se introduce cualquier número  mayor que 15, se indica con esto el porcentaje del vector con respecto al tamaño de los ejes, y en lugar de 4 cualquier número  que indica el grado de agudeza con que la función del campo cambia. Utilice esta configuración especialmente en modo campo para controlar que el tamaño de los vectores no sobrepase el tamaño del sistema de coordenadas, y la función campo adquiera suavidad. Controle esta suavidad con el segundo número. Para que esta función se active es necesario el formato 60*4 (el asterisco es obligatorio, y sin el signo igual). Nota: esta función puede cambiar la apariencia real de los vectores. </v>
      </c>
    </row>
    <row r="185" spans="27:32" x14ac:dyDescent="0.2">
      <c r="AA185" t="s">
        <v>226</v>
      </c>
      <c r="AB185" t="str">
        <f>HLOOKUP($Q$2,$AD$4:$AK$800,AD185)</f>
        <v>Free cell for shape 183. For shape 200, the other rotation angle of the 3D object is entered here (see 3D MODEL project, vector2). For shape -114, the indicator position row.</v>
      </c>
      <c r="AD185">
        <v>182</v>
      </c>
      <c r="AE185" t="str">
        <f>$AE$122</f>
        <v>Free cell for shape 183. For shape 200, the other rotation angle of the 3D object is entered here (see 3D MODEL project, vector2). For shape -114, the indicator position row.</v>
      </c>
      <c r="AF185" t="str">
        <f>$AF$122</f>
        <v>Celda libre para la forma 183. Para la forma 200 se introduce aquí el otro ángulo de rotación del objeto 3D (ver proyecto MODELO 3D, vector2). Para la forma -114 se introduce aquí la fila de posición del indicador.</v>
      </c>
    </row>
    <row r="186" spans="27:32" x14ac:dyDescent="0.2">
      <c r="AA186" t="s">
        <v>229</v>
      </c>
      <c r="AB186" t="str">
        <f>HLOOKUP($Q$2,$AD$4:$AK$800,AD186)</f>
        <v xml:space="preserve">This cell indicates the initial position on the Y axis of the current vector. When working in FIELD mode, the code automatically deletes the data in this cell and replaces it with =B11, since in B11 all the initial values of the Y coordinates of the given field vectors will be traversed (in field mode) for a range in the Y coordinate. In this cell the user can enter constant values as well as functions.To see how it works, in a new ScienSolar sheet add a new vector and put in A12 = 4, B12 = 3, C12 = 0. Press XYZ, Put in other values and observe the changes in the coordinate system. </v>
      </c>
      <c r="AD186">
        <v>183</v>
      </c>
      <c r="AE186" t="str">
        <f>$AE$123</f>
        <v xml:space="preserve">This cell indicates the initial position on the Y axis of the current vector. When working in FIELD mode, the code automatically deletes the data in this cell and replaces it with =B11, since in B11 all the initial values of the Y coordinates of the given field vectors will be traversed (in field mode) for a range in the Y coordinate. In this cell the user can enter constant values as well as functions.To see how it works, in a new ScienSolar sheet add a new vector and put in A12 = 4, B12 = 3, C12 = 0. Press XYZ, Put in other values and observe the changes in the coordinate system. </v>
      </c>
      <c r="AF186" t="str">
        <f>$AF$123</f>
        <v xml:space="preserve">Esta celda indica la posición inicial en el eje Y del vector actual. Cuando se trabaja en modo CAMPO, el código automáticamente borra los datos de esta celda y los reemplaza por =B11, puesto que en B11 se recorrerán (en modo campo) todos los valores iniciales de las coordenadas en Y de los vectores del campo dados para un rango en la coordenada Y. En esta celda el usuario puede introducir valores constantes así como funciones.Para ver como funciona, en una nueva hoja de ScienSolar agregue un nuevo vector y en A12 = 4, B12= 3, C12 = 0. Oprima XYZ, Ponga otros valores y observe los cambios en el sistema de coordenadas. </v>
      </c>
    </row>
    <row r="187" spans="27:32" x14ac:dyDescent="0.2">
      <c r="AA187" t="s">
        <v>232</v>
      </c>
      <c r="AB187" t="str">
        <f>HLOOKUP($Q$2,$AD$4:$AK$800,AD187)</f>
        <v>This cell is used by the code when working in FIELD MODE to cycle through all coordinate values as variables. In other words, this cell is equivalent to the Y variable when working with a function f(y). As an example of using this cell, see the ELECTRIC DIPOLE, CYLINDRICAL SYMMETRY and SPHERICAL SYMMETRY projects. For scalar fields, see the FUNCTIONS project.</v>
      </c>
      <c r="AD187">
        <v>184</v>
      </c>
      <c r="AE187" t="str">
        <f>$AE$124</f>
        <v>This cell is used by the code when working in FIELD MODE to cycle through all coordinate values as variables. In other words, this cell is equivalent to the Y variable when working with a function f(y). As an example of using this cell, see the ELECTRIC DIPOLE, CYLINDRICAL SYMMETRY and SPHERICAL SYMMETRY projects. For scalar fields, see the FUNCTIONS project.</v>
      </c>
      <c r="AF187" t="str">
        <f>$AF$124</f>
        <v>Esta celda es usada por el código cuando se trabaja en MODO CAMPO para recorrer todos los valores de las coordenadas como variables. Dicho de otra manera, esta celda equivale a la variable y cuando se trabaja con una función f(y). Como ejemplo de uso de esta celda ver los proyectos DIPOLO ELÉCTRICO, SIMETRÍA CILÍNDRICA y SIMETRÍA ESFÉRICA. Para campos escalares ver el proyecto FUNCIONES.</v>
      </c>
    </row>
    <row r="188" spans="27:32" x14ac:dyDescent="0.2">
      <c r="AA188" t="s">
        <v>235</v>
      </c>
      <c r="AB188" t="str">
        <f>HLOOKUP($Q$2,$AD$4:$AK$800,AD188)</f>
        <v>In this cell the value of the coordinate on the Y axis of the vector is entered. When working in FIELD MODE, the function corresponding to the Y axis of the vector field is entered here. As an example of use of this cell see the ELECTRICAL DIPOLE, CYLINDRICAL SYMMETRY and SPHERICAL SYMMETRY projects. For scalar fields see the FUNCTIONS project.</v>
      </c>
      <c r="AD188">
        <v>185</v>
      </c>
      <c r="AE188" t="str">
        <f>$AE$125</f>
        <v>In this cell the value of the coordinate on the Y axis of the vector is entered. When working in FIELD MODE, the function corresponding to the Y axis of the vector field is entered here. As an example of use of this cell see the ELECTRICAL DIPOLE, CYLINDRICAL SYMMETRY and SPHERICAL SYMMETRY projects. For scalar fields see the FUNCTIONS project.</v>
      </c>
      <c r="AF188" t="str">
        <f>$AF$125</f>
        <v>En esta celda se introduce el valor de la coordenada en el eje Y del vector. Cuando se trabaja en MODO CAMPO, se introduce aquí la función correspondiente al eje Y del campo vectorial. Como ejemplo de uso de esta celda ver los proyectos DIPOLO ELÉCTRICO, SIMETRÍA CILÍNDRICA y SIMETRÍA ESFÉRICA. Para campos escalares ver el proyecto FUNCIONES.</v>
      </c>
    </row>
    <row r="189" spans="27:32" x14ac:dyDescent="0.2">
      <c r="AA189" t="s">
        <v>238</v>
      </c>
      <c r="AB189" t="str">
        <f>HLOOKUP($Q$2,$AD$4:$AK$800,AD189)</f>
        <v>ROW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B40=30, B41=10, D41=a and E41=b; press Run. A table with the simulation data will appear from the indicated cell. The table can be deleted simply by pressing the BUTTON IN COLUMN A of this vector. The value 0 for this cell disables this function. Only positive numerical values are accepted. The data can be used for other studies in Excel or other data analysis programs.</v>
      </c>
      <c r="AD189">
        <v>186</v>
      </c>
      <c r="AE189" t="str">
        <f>$AE$126</f>
        <v>ROW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B40=30, B41=10, D41=a and E41=b; press Run. A table with the simulation data will appear from the indicated cell. The table can be deleted simply by pressing the BUTTON IN COLUMN A of this vector. The value 0 for this cell disables this function. Only positive numerical values are accepted. The data can be used for other studies in Excel or other data analysis programs.</v>
      </c>
      <c r="AF189" t="str">
        <f>$AF$126</f>
        <v xml:space="preserve">NÚMERO DE FILA para el inicio de una tabla de salida de datos durante la ejecución de un modelo. El número de columnas que tendrá la tabla es 9 con las coordenadas iniciales, finales y dos celdas más para fórmulas adicionales. El número de filas depende de la resolución de toma de datos del problema en particular. Para ver cómo funciona esta celda oprima New Sheet (Nueva hoja) seleccione el proyecto MOVIMIENTO PARABÓLICO de la lista y oprima +VECTOR, luego, para el vector velocidad coloque B40=30, B41=10, D41=a y E41=b; oprima Ejecutar (Run). Aparecerá, a partir de la celda indicada, una tabla con los datos de la simulación. La tabla sepuede borrar simplemente OPRIMIENO EL BOTÓN EN LA COLUMNA A DE ESTE VECTOR. En lugar de las letras a y b se pueden introducir otras funciones. El valor 0 para esta celda deshabilita esta función. Solo se aceptan valores numéricos positivos. Los datos pueden ser usados para otros estudios en Excel u otros programas de análisis de datos. </v>
      </c>
    </row>
    <row r="190" spans="27:32" x14ac:dyDescent="0.2">
      <c r="AA190" t="s">
        <v>241</v>
      </c>
      <c r="AB190" t="str">
        <f>HLOOKUP($Q$2,$AD$4:$AK$800,AD190)</f>
        <v>COLUMN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B40=25, B41=10, D41=a and E41=b; press Run. A table with the simulation data will appear from the indicated cell. The table HEcan be deleted simply by by pressing the BUTTON IN COLUMN A of this vector. The value 0 for this cell disables this function. Only positive numerical values are accepted. The data can be used for other studies in Excel or other data analysis programs.</v>
      </c>
      <c r="AD190">
        <v>187</v>
      </c>
      <c r="AE190" t="str">
        <f>$AE$127</f>
        <v>COLUMN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B40=25, B41=10, D41=a and E41=b; press Run. A table with the simulation data will appear from the indicated cell. The table HEcan be deleted simply by by pressing the BUTTON IN COLUMN A of this vector. The value 0 for this cell disables this function. Only positive numerical values are accepted. The data can be used for other studies in Excel or other data analysis programs.</v>
      </c>
      <c r="AF190" t="str">
        <f>$AF$127</f>
        <v xml:space="preserve">NÚMERO DE COLUMNA para el inicio de una tabla de salida de datos durante la ejecución de un modelo. El número de columnas que tendrá la tabla es 9 con las coordenadas iniciales, finales y dos celdas más para fórmulas adicionales. El número de filas depende de la resolución de toma de datos del problema en particular. Para ver cómo funciona esta celda oprima New Sheet (Nueva hoja) seleccione el proyecto MOVIMIENTO PARABÓLICO de la lista y oprima +VECTOR, luego, para el vector velocidad coloque B40=25, B41=7, D41=a y E41=b; oprima Ejecutar (Run). Aparecerá, a partir de la celda indicada, una tabla con los datos de la simulación. La tabla sepuede borrar simplemente OPRIMIENO EL BOTÓN EN LA COLUMNA A DE ESTE VECTOR. En lugar de las letras a y b se pueden introducir otras funciones. El valor 0 para esta celda deshabilita esta función. Solo se aceptan valores numéricos positivos. Los datos pueden ser usados para otros estudios en Excel u otros programas de análisis de datos. </v>
      </c>
    </row>
    <row r="191" spans="27:32" x14ac:dyDescent="0.2">
      <c r="AA191" t="s">
        <v>244</v>
      </c>
      <c r="AB191" t="str">
        <f>HLOOKUP($Q$2,$AD$4:$AK$800,AD191)</f>
        <v>VECTOR LABEL. Enter here the vector label that will appear in the coordinate system next to the vector. PROPERTIES: If no value is entered, the vector will appear without a label in the system. You can also introduce variable label functions, see example in the QUADRUPOLE project for labels of the electric charges q1, q2, q3, q4.</v>
      </c>
      <c r="AD191">
        <v>188</v>
      </c>
      <c r="AE191" t="str">
        <f>$AE$119</f>
        <v>VECTOR LABEL. Enter here the vector label that will appear in the coordinate system next to the vector. PROPERTIES: If no value is entered, the vector will appear without a label in the system. You can also introduce variable label functions, see example in the QUADRUPOLE project for labels of the electric charges q1, q2, q3, q4.</v>
      </c>
      <c r="AF191" t="str">
        <f>$AF$119</f>
        <v>ETIQUETA DEL VECTOR. Ingrese aquí la etiqueta del vector que aparecerá en el sistema de coordenadas al lado del vector. PROPIEDADES: Si no se introduce ningún valor, el vector aparecerá sin etiqueta en el sistema de coordenadas. También se pueden introducir funciones de etiquetas variables, ver ejemplo en el proyecto CUADRUPOLO para etiquetas de las cargas q1, q2, q3, q4.</v>
      </c>
    </row>
    <row r="192" spans="27:32" x14ac:dyDescent="0.2">
      <c r="AA192" t="s">
        <v>247</v>
      </c>
      <c r="AB192" t="str">
        <f>HLOOKUP($Q$2,$AD$4:$AK$800,AD192)</f>
        <v>TYPE OF SHAPE to be represented in the coordinate system. The shape that is pre-established for ScienSolar is code 183.This shape is created in ScienSolar so that it perfectly represents a vector. However, you can use other forms for other purposes, but it should be noted that for codes other than 183 the rotations do not work correctly. PROPERTIES: values from 1 to 183 are accepted, negative values freeze their dimensions and do not obey rotation. Value 183 for vectors. Value 146 for a point in space. Value 200 to load a 3D object from the 3DModels sheet, thereby indicating the name of the object in the vector label (see as an example vector 2 of the 3D MODEL project). To easily view all shapes do the following: press RESET, then +VECTOR and enter the following values: B7 =I5, I3=1, I4=200, E5=60 and press the button --&gt; to navigate through the different values of I5, that is, B7. The value B=-114 allows loading a text box with indicator of a cell, for example B=-114 (negative), B9=15 and C9=4 will place the text box indicator in the cell that is in row 15 and column 4.</v>
      </c>
      <c r="AD192">
        <v>189</v>
      </c>
      <c r="AE192" t="str">
        <f>$AE$120</f>
        <v>TYPE OF SHAPE to be represented in the coordinate system. The shape that is pre-established for ScienSolar is code 183.This shape is created in ScienSolar so that it perfectly represents a vector. However, you can use other forms for other purposes, but it should be noted that for codes other than 183 the rotations do not work correctly. PROPERTIES: values from 1 to 183 are accepted, negative values freeze their dimensions and do not obey rotation. Value 183 for vectors. Value 146 for a point in space. Value 200 to load a 3D object from the 3DModels sheet, thereby indicating the name of the object in the vector label (see as an example vector 2 of the 3D MODEL project). To easily view all shapes do the following: press RESET, then +VECTOR and enter the following values: B7 =I5, I3=1, I4=200, E5=60 and press the button --&gt; to navigate through the different values of I5, that is, B7. The value B=-114 allows loading a text box with indicator of a cell, for example B=-114 (negative), B9=15 and C9=4 will place the text box indicator in the cell that is in row 15 and column 4.</v>
      </c>
      <c r="AF192" t="str">
        <f>$AF$120</f>
        <v>TIPO DE FORMA a representar en el sistema de coordenadas. La forma típica para ScienSolar es la de código 183. Esta forma está elaborada en ScienSolar para que represente perfectamente a un vector. Sin embargo se pueden utilizar otras formas para otros fines, pero cabe resaltar que para otros códigos diferentes a 183 las rotaciones  no funcionan correctamente. PROPIEDADES: se aceptan valores desde 1 hasta 183, los valores negativos congelan sus dimensiones y no obedecen a la rotación.  Valor 183 para vectores. Valor 146 para un punto en el espacio. Valor 200 para cargar un objeto 3D de la hoja 3DModels, con ello indicando en la etiqueta del vector el nombre del objeto (ver como ejemplo el vector 2 del proyecto MODELO 3D). Para visualizar  fácilmente todas las formas haga lo siguiente: oprima RESET (RESTABLECER), luego +VECTOR e introduzca los siguientes valores:  B7 =I5,  I3=1, I4=200, E5=60 y oprima el botón --&gt; para navegar por los diferentes valores de I5, es decir de B7.  El valor B=-114  permite cargar un cuadro de texto con indicador de una celda, por ejemplo B=-114 (negativo), B9=15 y C9=4 ubicará el indicador en la celda que está en la fila 15 y la columna 4.</v>
      </c>
    </row>
    <row r="193" spans="27:32" x14ac:dyDescent="0.2">
      <c r="AA193" t="s">
        <v>250</v>
      </c>
      <c r="AB193" t="str">
        <f>HLOOKUP($Q$2,$AD$4:$AK$800,AD193)</f>
        <v xml:space="preserve">VECTOR LINE TYPE_x000D_For a solid line, enter 1 and for different types of dotted lines, enter 2 to 12._x000D__x000D_CONTROL OF THE VECTOR SIZE IN THE COORDINATE SYSTEM_x000D_Change the size of the vectors by entering in the value of this cell an expression of the form 60*4, where instead of 60 any number greater than 15 is entered, thus indicating the percentage of the vector with respect to the size of the axes, and instead of 4 any number that indicates how sharply the field function changes. Use this setting especially in field mode to control that the size of the vectors does not exceed the size of the system coordinates, and the function of the field is controlled with the second number. For this function to be activated, the format 60*4 is required (the asterisk is mandatory, and without the equal sign). Remark: This function can change the actual appearance of the vectors. </v>
      </c>
      <c r="AD193">
        <v>190</v>
      </c>
      <c r="AE193" t="str">
        <f>$AE$121</f>
        <v xml:space="preserve">VECTOR LINE TYPE_x000D_For a solid line, enter 1 and for different types of dotted lines, enter 2 to 12._x000D__x000D_CONTROL OF THE VECTOR SIZE IN THE COORDINATE SYSTEM_x000D_Change the size of the vectors by entering in the value of this cell an expression of the form 60*4, where instead of 60 any number greater than 15 is entered, thus indicating the percentage of the vector with respect to the size of the axes, and instead of 4 any number that indicates how sharply the field function changes. Use this setting especially in field mode to control that the size of the vectors does not exceed the size of the system coordinates, and the function of the field is controlled with the second number. For this function to be activated, the format 60*4 is required (the asterisk is mandatory, and without the equal sign). Remark: This function can change the actual appearance of the vectors. </v>
      </c>
      <c r="AF193" t="str">
        <f>$AF$121</f>
        <v xml:space="preserve">TIPO DE LÍNEA DEL VECTOR_x000D_Para línea continua se introduce 1 y para diferentes tipos de línea punteada del 2 al 12._x000D__x000D_CONTROL DEL TAMAÑO DEL VECTOR EN EL SISTEMA DE COORDENADAS_x000D_Si el valor de esta celda es de la forma 60*4, en donde en lugar de 60 se introduce cualquier número  mayor que 15, se indica con esto el porcentaje del vector con respecto al tamaño de los ejes, y en lugar de 4 cualquier número  que indica el grado de agudeza con que la función del campo cambia. Utilice esta configuración especialmente en modo campo para controlar que el tamaño de los vectores no sobrepase el tamaño del sistema de coordenadas, y la función campo adquiera suavidad. Controle esta suavidad con el segundo número. Para que esta función se active es necesario el formato 60*4 (el asterisco es obligatorio, y sin el signo igual). Nota: esta función puede cambiar la apariencia real de los vectores. </v>
      </c>
    </row>
    <row r="194" spans="27:32" x14ac:dyDescent="0.2">
      <c r="AA194" t="s">
        <v>253</v>
      </c>
      <c r="AB194" t="str">
        <f>HLOOKUP($Q$2,$AD$4:$AK$800,AD194)</f>
        <v>Free cell for shape 183. For shape 200, the other rotation angle of the 3D object is entered here (see 3D MODEL project, vector2). For shape -114, the indicator position row.</v>
      </c>
      <c r="AD194">
        <v>191</v>
      </c>
      <c r="AE194" t="str">
        <f>$AE$122</f>
        <v>Free cell for shape 183. For shape 200, the other rotation angle of the 3D object is entered here (see 3D MODEL project, vector2). For shape -114, the indicator position row.</v>
      </c>
      <c r="AF194" t="str">
        <f>$AF$122</f>
        <v>Celda libre para la forma 183. Para la forma 200 se introduce aquí el otro ángulo de rotación del objeto 3D (ver proyecto MODELO 3D, vector2). Para la forma -114 se introduce aquí la fila de posición del indicador.</v>
      </c>
    </row>
    <row r="195" spans="27:32" x14ac:dyDescent="0.2">
      <c r="AA195" t="s">
        <v>256</v>
      </c>
      <c r="AB195" t="str">
        <f>HLOOKUP($Q$2,$AD$4:$AK$800,AD195)</f>
        <v xml:space="preserve">This cell indicates the initial position on the Y axis of the current vector. When working in FIELD mode, the code automatically deletes the data in this cell and replaces it with =B11, since in B11 all the initial values of the Y coordinates of the given field vectors will be traversed (in field mode) for a range in the Y coordinate. In this cell the user can enter constant values as well as functions.To see how it works, in a new ScienSolar sheet add a new vector and put in A12 = 4, B12 = 3, C12 = 0. Press XYZ, Put in other values and observe the changes in the coordinate system. </v>
      </c>
      <c r="AD195">
        <v>192</v>
      </c>
      <c r="AE195" t="str">
        <f>$AE$123</f>
        <v xml:space="preserve">This cell indicates the initial position on the Y axis of the current vector. When working in FIELD mode, the code automatically deletes the data in this cell and replaces it with =B11, since in B11 all the initial values of the Y coordinates of the given field vectors will be traversed (in field mode) for a range in the Y coordinate. In this cell the user can enter constant values as well as functions.To see how it works, in a new ScienSolar sheet add a new vector and put in A12 = 4, B12 = 3, C12 = 0. Press XYZ, Put in other values and observe the changes in the coordinate system. </v>
      </c>
      <c r="AF195" t="str">
        <f>$AF$123</f>
        <v xml:space="preserve">Esta celda indica la posición inicial en el eje Y del vector actual. Cuando se trabaja en modo CAMPO, el código automáticamente borra los datos de esta celda y los reemplaza por =B11, puesto que en B11 se recorrerán (en modo campo) todos los valores iniciales de las coordenadas en Y de los vectores del campo dados para un rango en la coordenada Y. En esta celda el usuario puede introducir valores constantes así como funciones.Para ver como funciona, en una nueva hoja de ScienSolar agregue un nuevo vector y en A12 = 4, B12= 3, C12 = 0. Oprima XYZ, Ponga otros valores y observe los cambios en el sistema de coordenadas. </v>
      </c>
    </row>
    <row r="196" spans="27:32" x14ac:dyDescent="0.2">
      <c r="AA196" t="s">
        <v>259</v>
      </c>
      <c r="AB196" t="str">
        <f>HLOOKUP($Q$2,$AD$4:$AK$800,AD196)</f>
        <v>This cell is used by the code when working in FIELD MODE to cycle through all coordinate values as variables. In other words, this cell is equivalent to the Y variable when working with a function f(y). As an example of using this cell, see the ELECTRIC DIPOLE, CYLINDRICAL SYMMETRY and SPHERICAL SYMMETRY projects. For scalar fields, see the FUNCTIONS project.</v>
      </c>
      <c r="AD196">
        <v>193</v>
      </c>
      <c r="AE196" t="str">
        <f>$AE$124</f>
        <v>This cell is used by the code when working in FIELD MODE to cycle through all coordinate values as variables. In other words, this cell is equivalent to the Y variable when working with a function f(y). As an example of using this cell, see the ELECTRIC DIPOLE, CYLINDRICAL SYMMETRY and SPHERICAL SYMMETRY projects. For scalar fields, see the FUNCTIONS project.</v>
      </c>
      <c r="AF196" t="str">
        <f>$AF$124</f>
        <v>Esta celda es usada por el código cuando se trabaja en MODO CAMPO para recorrer todos los valores de las coordenadas como variables. Dicho de otra manera, esta celda equivale a la variable y cuando se trabaja con una función f(y). Como ejemplo de uso de esta celda ver los proyectos DIPOLO ELÉCTRICO, SIMETRÍA CILÍNDRICA y SIMETRÍA ESFÉRICA. Para campos escalares ver el proyecto FUNCIONES.</v>
      </c>
    </row>
    <row r="197" spans="27:32" x14ac:dyDescent="0.2">
      <c r="AA197" t="s">
        <v>262</v>
      </c>
      <c r="AB197" t="str">
        <f>HLOOKUP($Q$2,$AD$4:$AK$800,AD197)</f>
        <v>In this cell the value of the coordinate on the Y axis of the vector is entered. When working in FIELD MODE, the function corresponding to the Y axis of the vector field is entered here. As an example of use of this cell see the ELECTRICAL DIPOLE, CYLINDRICAL SYMMETRY and SPHERICAL SYMMETRY projects. For scalar fields see the FUNCTIONS project.</v>
      </c>
      <c r="AD197">
        <v>194</v>
      </c>
      <c r="AE197" t="str">
        <f>$AE$125</f>
        <v>In this cell the value of the coordinate on the Y axis of the vector is entered. When working in FIELD MODE, the function corresponding to the Y axis of the vector field is entered here. As an example of use of this cell see the ELECTRICAL DIPOLE, CYLINDRICAL SYMMETRY and SPHERICAL SYMMETRY projects. For scalar fields see the FUNCTIONS project.</v>
      </c>
      <c r="AF197" t="str">
        <f>$AF$125</f>
        <v>En esta celda se introduce el valor de la coordenada en el eje Y del vector. Cuando se trabaja en MODO CAMPO, se introduce aquí la función correspondiente al eje Y del campo vectorial. Como ejemplo de uso de esta celda ver los proyectos DIPOLO ELÉCTRICO, SIMETRÍA CILÍNDRICA y SIMETRÍA ESFÉRICA. Para campos escalares ver el proyecto FUNCIONES.</v>
      </c>
    </row>
    <row r="198" spans="27:32" x14ac:dyDescent="0.2">
      <c r="AA198" t="s">
        <v>265</v>
      </c>
      <c r="AB198" t="str">
        <f>HLOOKUP($Q$2,$AD$4:$AK$800,AD198)</f>
        <v>ROW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B40=30, B41=10, D41=a and E41=b; press Run. A table with the simulation data will appear from the indicated cell. The table can be deleted simply by pressing the BUTTON IN COLUMN A of this vector. The value 0 for this cell disables this function. Only positive numerical values are accepted. The data can be used for other studies in Excel or other data analysis programs.</v>
      </c>
      <c r="AD198">
        <v>195</v>
      </c>
      <c r="AE198" t="str">
        <f>$AE$126</f>
        <v>ROW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B40=30, B41=10, D41=a and E41=b; press Run. A table with the simulation data will appear from the indicated cell. The table can be deleted simply by pressing the BUTTON IN COLUMN A of this vector. The value 0 for this cell disables this function. Only positive numerical values are accepted. The data can be used for other studies in Excel or other data analysis programs.</v>
      </c>
      <c r="AF198" t="str">
        <f>$AF$126</f>
        <v xml:space="preserve">NÚMERO DE FILA para el inicio de una tabla de salida de datos durante la ejecución de un modelo. El número de columnas que tendrá la tabla es 9 con las coordenadas iniciales, finales y dos celdas más para fórmulas adicionales. El número de filas depende de la resolución de toma de datos del problema en particular. Para ver cómo funciona esta celda oprima New Sheet (Nueva hoja) seleccione el proyecto MOVIMIENTO PARABÓLICO de la lista y oprima +VECTOR, luego, para el vector velocidad coloque B40=30, B41=10, D41=a y E41=b; oprima Ejecutar (Run). Aparecerá, a partir de la celda indicada, una tabla con los datos de la simulación. La tabla sepuede borrar simplemente OPRIMIENO EL BOTÓN EN LA COLUMNA A DE ESTE VECTOR. En lugar de las letras a y b se pueden introducir otras funciones. El valor 0 para esta celda deshabilita esta función. Solo se aceptan valores numéricos positivos. Los datos pueden ser usados para otros estudios en Excel u otros programas de análisis de datos. </v>
      </c>
    </row>
    <row r="199" spans="27:32" x14ac:dyDescent="0.2">
      <c r="AA199" t="s">
        <v>268</v>
      </c>
      <c r="AB199" t="str">
        <f>HLOOKUP($Q$2,$AD$4:$AK$800,AD199)</f>
        <v>COLUMN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B40=25, B41=10, D41=a and E41=b; press Run. A table with the simulation data will appear from the indicated cell. The table HEcan be deleted simply by by pressing the BUTTON IN COLUMN A of this vector. The value 0 for this cell disables this function. Only positive numerical values are accepted. The data can be used for other studies in Excel or other data analysis programs.</v>
      </c>
      <c r="AD199">
        <v>196</v>
      </c>
      <c r="AE199" t="str">
        <f>$AE$127</f>
        <v>COLUMN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B40=25, B41=10, D41=a and E41=b; press Run. A table with the simulation data will appear from the indicated cell. The table HEcan be deleted simply by by pressing the BUTTON IN COLUMN A of this vector. The value 0 for this cell disables this function. Only positive numerical values are accepted. The data can be used for other studies in Excel or other data analysis programs.</v>
      </c>
      <c r="AF199" t="str">
        <f>$AF$127</f>
        <v xml:space="preserve">NÚMERO DE COLUMNA para el inicio de una tabla de salida de datos durante la ejecución de un modelo. El número de columnas que tendrá la tabla es 9 con las coordenadas iniciales, finales y dos celdas más para fórmulas adicionales. El número de filas depende de la resolución de toma de datos del problema en particular. Para ver cómo funciona esta celda oprima New Sheet (Nueva hoja) seleccione el proyecto MOVIMIENTO PARABÓLICO de la lista y oprima +VECTOR, luego, para el vector velocidad coloque B40=25, B41=7, D41=a y E41=b; oprima Ejecutar (Run). Aparecerá, a partir de la celda indicada, una tabla con los datos de la simulación. La tabla sepuede borrar simplemente OPRIMIENO EL BOTÓN EN LA COLUMNA A DE ESTE VECTOR. En lugar de las letras a y b se pueden introducir otras funciones. El valor 0 para esta celda deshabilita esta función. Solo se aceptan valores numéricos positivos. Los datos pueden ser usados para otros estudios en Excel u otros programas de análisis de datos. </v>
      </c>
    </row>
    <row r="200" spans="27:32" x14ac:dyDescent="0.2">
      <c r="AA200" t="s">
        <v>271</v>
      </c>
      <c r="AB200" t="str">
        <f>HLOOKUP($Q$2,$AD$4:$AK$800,AD200)</f>
        <v>VECTOR LABEL. Enter here the vector label that will appear in the coordinate system next to the vector. PROPERTIES: If no value is entered, the vector will appear without a label in the system. You can also introduce variable label functions, see example in the QUADRUPOLE project for labels of the electric charges q1, q2, q3, q4.</v>
      </c>
      <c r="AD200">
        <v>197</v>
      </c>
      <c r="AE200" t="str">
        <f>$AE$119</f>
        <v>VECTOR LABEL. Enter here the vector label that will appear in the coordinate system next to the vector. PROPERTIES: If no value is entered, the vector will appear without a label in the system. You can also introduce variable label functions, see example in the QUADRUPOLE project for labels of the electric charges q1, q2, q3, q4.</v>
      </c>
      <c r="AF200" t="str">
        <f>$AF$119</f>
        <v>ETIQUETA DEL VECTOR. Ingrese aquí la etiqueta del vector que aparecerá en el sistema de coordenadas al lado del vector. PROPIEDADES: Si no se introduce ningún valor, el vector aparecerá sin etiqueta en el sistema de coordenadas. También se pueden introducir funciones de etiquetas variables, ver ejemplo en el proyecto CUADRUPOLO para etiquetas de las cargas q1, q2, q3, q4.</v>
      </c>
    </row>
    <row r="201" spans="27:32" x14ac:dyDescent="0.2">
      <c r="AA201" t="s">
        <v>274</v>
      </c>
      <c r="AB201" t="str">
        <f>HLOOKUP($Q$2,$AD$4:$AK$800,AD201)</f>
        <v>TYPE OF SHAPE to be represented in the coordinate system. The shape that is pre-established for ScienSolar is code 183.This shape is created in ScienSolar so that it perfectly represents a vector. However, you can use other forms for other purposes, but it should be noted that for codes other than 183 the rotations do not work correctly. PROPERTIES: values from 1 to 183 are accepted, negative values freeze their dimensions and do not obey rotation. Value 183 for vectors. Value 146 for a point in space. Value 200 to load a 3D object from the 3DModels sheet, thereby indicating the name of the object in the vector label (see as an example vector 2 of the 3D MODEL project). To easily view all shapes do the following: press RESET, then +VECTOR and enter the following values: B7 =I5, I3=1, I4=200, E5=60 and press the button --&gt; to navigate through the different values of I5, that is, B7. The value B=-114 allows loading a text box with indicator of a cell, for example B=-114 (negative), B9=15 and C9=4 will place the text box indicator in the cell that is in row 15 and column 4.</v>
      </c>
      <c r="AD201">
        <v>198</v>
      </c>
      <c r="AE201" t="str">
        <f>$AE$120</f>
        <v>TYPE OF SHAPE to be represented in the coordinate system. The shape that is pre-established for ScienSolar is code 183.This shape is created in ScienSolar so that it perfectly represents a vector. However, you can use other forms for other purposes, but it should be noted that for codes other than 183 the rotations do not work correctly. PROPERTIES: values from 1 to 183 are accepted, negative values freeze their dimensions and do not obey rotation. Value 183 for vectors. Value 146 for a point in space. Value 200 to load a 3D object from the 3DModels sheet, thereby indicating the name of the object in the vector label (see as an example vector 2 of the 3D MODEL project). To easily view all shapes do the following: press RESET, then +VECTOR and enter the following values: B7 =I5, I3=1, I4=200, E5=60 and press the button --&gt; to navigate through the different values of I5, that is, B7. The value B=-114 allows loading a text box with indicator of a cell, for example B=-114 (negative), B9=15 and C9=4 will place the text box indicator in the cell that is in row 15 and column 4.</v>
      </c>
      <c r="AF201" t="str">
        <f>$AF$120</f>
        <v>TIPO DE FORMA a representar en el sistema de coordenadas. La forma típica para ScienSolar es la de código 183. Esta forma está elaborada en ScienSolar para que represente perfectamente a un vector. Sin embargo se pueden utilizar otras formas para otros fines, pero cabe resaltar que para otros códigos diferentes a 183 las rotaciones  no funcionan correctamente. PROPIEDADES: se aceptan valores desde 1 hasta 183, los valores negativos congelan sus dimensiones y no obedecen a la rotación.  Valor 183 para vectores. Valor 146 para un punto en el espacio. Valor 200 para cargar un objeto 3D de la hoja 3DModels, con ello indicando en la etiqueta del vector el nombre del objeto (ver como ejemplo el vector 2 del proyecto MODELO 3D). Para visualizar  fácilmente todas las formas haga lo siguiente: oprima RESET (RESTABLECER), luego +VECTOR e introduzca los siguientes valores:  B7 =I5,  I3=1, I4=200, E5=60 y oprima el botón --&gt; para navegar por los diferentes valores de I5, es decir de B7.  El valor B=-114  permite cargar un cuadro de texto con indicador de una celda, por ejemplo B=-114 (negativo), B9=15 y C9=4 ubicará el indicador en la celda que está en la fila 15 y la columna 4.</v>
      </c>
    </row>
    <row r="202" spans="27:32" x14ac:dyDescent="0.2">
      <c r="AA202" t="s">
        <v>277</v>
      </c>
      <c r="AB202" t="str">
        <f>HLOOKUP($Q$2,$AD$4:$AK$800,AD202)</f>
        <v xml:space="preserve">VECTOR LINE TYPE_x000D_For a solid line, enter 1 and for different types of dotted lines, enter 2 to 12._x000D__x000D_CONTROL OF THE VECTOR SIZE IN THE COORDINATE SYSTEM_x000D_Change the size of the vectors by entering in the value of this cell an expression of the form 60*4, where instead of 60 any number greater than 15 is entered, thus indicating the percentage of the vector with respect to the size of the axes, and instead of 4 any number that indicates how sharply the field function changes. Use this setting especially in field mode to control that the size of the vectors does not exceed the size of the system coordinates, and the function of the field is controlled with the second number. For this function to be activated, the format 60*4 is required (the asterisk is mandatory, and without the equal sign). Remark: This function can change the actual appearance of the vectors. </v>
      </c>
      <c r="AD202">
        <v>199</v>
      </c>
      <c r="AE202" t="str">
        <f>$AE$121</f>
        <v xml:space="preserve">VECTOR LINE TYPE_x000D_For a solid line, enter 1 and for different types of dotted lines, enter 2 to 12._x000D__x000D_CONTROL OF THE VECTOR SIZE IN THE COORDINATE SYSTEM_x000D_Change the size of the vectors by entering in the value of this cell an expression of the form 60*4, where instead of 60 any number greater than 15 is entered, thus indicating the percentage of the vector with respect to the size of the axes, and instead of 4 any number that indicates how sharply the field function changes. Use this setting especially in field mode to control that the size of the vectors does not exceed the size of the system coordinates, and the function of the field is controlled with the second number. For this function to be activated, the format 60*4 is required (the asterisk is mandatory, and without the equal sign). Remark: This function can change the actual appearance of the vectors. </v>
      </c>
      <c r="AF202" t="str">
        <f>$AF$121</f>
        <v xml:space="preserve">TIPO DE LÍNEA DEL VECTOR_x000D_Para línea continua se introduce 1 y para diferentes tipos de línea punteada del 2 al 12._x000D__x000D_CONTROL DEL TAMAÑO DEL VECTOR EN EL SISTEMA DE COORDENADAS_x000D_Si el valor de esta celda es de la forma 60*4, en donde en lugar de 60 se introduce cualquier número  mayor que 15, se indica con esto el porcentaje del vector con respecto al tamaño de los ejes, y en lugar de 4 cualquier número  que indica el grado de agudeza con que la función del campo cambia. Utilice esta configuración especialmente en modo campo para controlar que el tamaño de los vectores no sobrepase el tamaño del sistema de coordenadas, y la función campo adquiera suavidad. Controle esta suavidad con el segundo número. Para que esta función se active es necesario el formato 60*4 (el asterisco es obligatorio, y sin el signo igual). Nota: esta función puede cambiar la apariencia real de los vectores. </v>
      </c>
    </row>
    <row r="203" spans="27:32" x14ac:dyDescent="0.2">
      <c r="AA203" t="s">
        <v>280</v>
      </c>
      <c r="AB203" t="str">
        <f>HLOOKUP($Q$2,$AD$4:$AK$800,AD203)</f>
        <v>Free cell for shape 183. For shape 200, the other rotation angle of the 3D object is entered here (see 3D MODEL project, vector2). For shape -114, the indicator position row.</v>
      </c>
      <c r="AD203">
        <v>200</v>
      </c>
      <c r="AE203" t="str">
        <f>$AE$122</f>
        <v>Free cell for shape 183. For shape 200, the other rotation angle of the 3D object is entered here (see 3D MODEL project, vector2). For shape -114, the indicator position row.</v>
      </c>
      <c r="AF203" t="str">
        <f>$AF$122</f>
        <v>Celda libre para la forma 183. Para la forma 200 se introduce aquí el otro ángulo de rotación del objeto 3D (ver proyecto MODELO 3D, vector2). Para la forma -114 se introduce aquí la fila de posición del indicador.</v>
      </c>
    </row>
    <row r="204" spans="27:32" x14ac:dyDescent="0.2">
      <c r="AA204" t="s">
        <v>283</v>
      </c>
      <c r="AB204" t="str">
        <f>HLOOKUP($Q$2,$AD$4:$AK$800,AD204)</f>
        <v xml:space="preserve">This cell indicates the initial position on the Y axis of the current vector. When working in FIELD mode, the code automatically deletes the data in this cell and replaces it with =B11, since in B11 all the initial values of the Y coordinates of the given field vectors will be traversed (in field mode) for a range in the Y coordinate. In this cell the user can enter constant values as well as functions.To see how it works, in a new ScienSolar sheet add a new vector and put in A12 = 4, B12 = 3, C12 = 0. Press XYZ, Put in other values and observe the changes in the coordinate system. </v>
      </c>
      <c r="AD204">
        <v>201</v>
      </c>
      <c r="AE204" t="str">
        <f>$AE$123</f>
        <v xml:space="preserve">This cell indicates the initial position on the Y axis of the current vector. When working in FIELD mode, the code automatically deletes the data in this cell and replaces it with =B11, since in B11 all the initial values of the Y coordinates of the given field vectors will be traversed (in field mode) for a range in the Y coordinate. In this cell the user can enter constant values as well as functions.To see how it works, in a new ScienSolar sheet add a new vector and put in A12 = 4, B12 = 3, C12 = 0. Press XYZ, Put in other values and observe the changes in the coordinate system. </v>
      </c>
      <c r="AF204" t="str">
        <f>$AF$123</f>
        <v xml:space="preserve">Esta celda indica la posición inicial en el eje Y del vector actual. Cuando se trabaja en modo CAMPO, el código automáticamente borra los datos de esta celda y los reemplaza por =B11, puesto que en B11 se recorrerán (en modo campo) todos los valores iniciales de las coordenadas en Y de los vectores del campo dados para un rango en la coordenada Y. En esta celda el usuario puede introducir valores constantes así como funciones.Para ver como funciona, en una nueva hoja de ScienSolar agregue un nuevo vector y en A12 = 4, B12= 3, C12 = 0. Oprima XYZ, Ponga otros valores y observe los cambios en el sistema de coordenadas. </v>
      </c>
    </row>
    <row r="205" spans="27:32" x14ac:dyDescent="0.2">
      <c r="AA205" t="s">
        <v>286</v>
      </c>
      <c r="AB205" t="str">
        <f>HLOOKUP($Q$2,$AD$4:$AK$800,AD205)</f>
        <v>This cell is used by the code when working in FIELD MODE to cycle through all coordinate values as variables. In other words, this cell is equivalent to the Y variable when working with a function f(y). As an example of using this cell, see the ELECTRIC DIPOLE, CYLINDRICAL SYMMETRY and SPHERICAL SYMMETRY projects. For scalar fields, see the FUNCTIONS project.</v>
      </c>
      <c r="AD205">
        <v>202</v>
      </c>
      <c r="AE205" t="str">
        <f>$AE$124</f>
        <v>This cell is used by the code when working in FIELD MODE to cycle through all coordinate values as variables. In other words, this cell is equivalent to the Y variable when working with a function f(y). As an example of using this cell, see the ELECTRIC DIPOLE, CYLINDRICAL SYMMETRY and SPHERICAL SYMMETRY projects. For scalar fields, see the FUNCTIONS project.</v>
      </c>
      <c r="AF205" t="str">
        <f>$AF$124</f>
        <v>Esta celda es usada por el código cuando se trabaja en MODO CAMPO para recorrer todos los valores de las coordenadas como variables. Dicho de otra manera, esta celda equivale a la variable y cuando se trabaja con una función f(y). Como ejemplo de uso de esta celda ver los proyectos DIPOLO ELÉCTRICO, SIMETRÍA CILÍNDRICA y SIMETRÍA ESFÉRICA. Para campos escalares ver el proyecto FUNCIONES.</v>
      </c>
    </row>
    <row r="206" spans="27:32" x14ac:dyDescent="0.2">
      <c r="AA206" t="s">
        <v>289</v>
      </c>
      <c r="AB206" t="str">
        <f>HLOOKUP($Q$2,$AD$4:$AK$800,AD206)</f>
        <v>In this cell the value of the coordinate on the Y axis of the vector is entered. When working in FIELD MODE, the function corresponding to the Y axis of the vector field is entered here. As an example of use of this cell see the ELECTRICAL DIPOLE, CYLINDRICAL SYMMETRY and SPHERICAL SYMMETRY projects. For scalar fields see the FUNCTIONS project.</v>
      </c>
      <c r="AD206">
        <v>203</v>
      </c>
      <c r="AE206" t="str">
        <f>$AE$125</f>
        <v>In this cell the value of the coordinate on the Y axis of the vector is entered. When working in FIELD MODE, the function corresponding to the Y axis of the vector field is entered here. As an example of use of this cell see the ELECTRICAL DIPOLE, CYLINDRICAL SYMMETRY and SPHERICAL SYMMETRY projects. For scalar fields see the FUNCTIONS project.</v>
      </c>
      <c r="AF206" t="str">
        <f>$AF$125</f>
        <v>En esta celda se introduce el valor de la coordenada en el eje Y del vector. Cuando se trabaja en MODO CAMPO, se introduce aquí la función correspondiente al eje Y del campo vectorial. Como ejemplo de uso de esta celda ver los proyectos DIPOLO ELÉCTRICO, SIMETRÍA CILÍNDRICA y SIMETRÍA ESFÉRICA. Para campos escalares ver el proyecto FUNCIONES.</v>
      </c>
    </row>
    <row r="207" spans="27:32" x14ac:dyDescent="0.2">
      <c r="AA207" t="s">
        <v>292</v>
      </c>
      <c r="AB207" t="str">
        <f>HLOOKUP($Q$2,$AD$4:$AK$800,AD207)</f>
        <v>ROW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B40=30, B41=10, D41=a and E41=b; press Run. A table with the simulation data will appear from the indicated cell. The table can be deleted simply by pressing the BUTTON IN COLUMN A of this vector. The value 0 for this cell disables this function. Only positive numerical values are accepted. The data can be used for other studies in Excel or other data analysis programs.</v>
      </c>
      <c r="AD207">
        <v>204</v>
      </c>
      <c r="AE207" t="str">
        <f>$AE$126</f>
        <v>ROW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B40=30, B41=10, D41=a and E41=b; press Run. A table with the simulation data will appear from the indicated cell. The table can be deleted simply by pressing the BUTTON IN COLUMN A of this vector. The value 0 for this cell disables this function. Only positive numerical values are accepted. The data can be used for other studies in Excel or other data analysis programs.</v>
      </c>
      <c r="AF207" t="str">
        <f>$AF$126</f>
        <v xml:space="preserve">NÚMERO DE FILA para el inicio de una tabla de salida de datos durante la ejecución de un modelo. El número de columnas que tendrá la tabla es 9 con las coordenadas iniciales, finales y dos celdas más para fórmulas adicionales. El número de filas depende de la resolución de toma de datos del problema en particular. Para ver cómo funciona esta celda oprima New Sheet (Nueva hoja) seleccione el proyecto MOVIMIENTO PARABÓLICO de la lista y oprima +VECTOR, luego, para el vector velocidad coloque B40=30, B41=10, D41=a y E41=b; oprima Ejecutar (Run). Aparecerá, a partir de la celda indicada, una tabla con los datos de la simulación. La tabla sepuede borrar simplemente OPRIMIENO EL BOTÓN EN LA COLUMNA A DE ESTE VECTOR. En lugar de las letras a y b se pueden introducir otras funciones. El valor 0 para esta celda deshabilita esta función. Solo se aceptan valores numéricos positivos. Los datos pueden ser usados para otros estudios en Excel u otros programas de análisis de datos. </v>
      </c>
    </row>
    <row r="208" spans="27:32" x14ac:dyDescent="0.2">
      <c r="AA208" t="s">
        <v>295</v>
      </c>
      <c r="AB208" t="str">
        <f>HLOOKUP($Q$2,$AD$4:$AK$800,AD208)</f>
        <v>COLUMN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B40=25, B41=10, D41=a and E41=b; press Run. A table with the simulation data will appear from the indicated cell. The table HEcan be deleted simply by by pressing the BUTTON IN COLUMN A of this vector. The value 0 for this cell disables this function. Only positive numerical values are accepted. The data can be used for other studies in Excel or other data analysis programs.</v>
      </c>
      <c r="AD208">
        <v>205</v>
      </c>
      <c r="AE208" t="str">
        <f>$AE$127</f>
        <v>COLUMN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B40=25, B41=10, D41=a and E41=b; press Run. A table with the simulation data will appear from the indicated cell. The table HEcan be deleted simply by by pressing the BUTTON IN COLUMN A of this vector. The value 0 for this cell disables this function. Only positive numerical values are accepted. The data can be used for other studies in Excel or other data analysis programs.</v>
      </c>
      <c r="AF208" t="str">
        <f>$AF$127</f>
        <v xml:space="preserve">NÚMERO DE COLUMNA para el inicio de una tabla de salida de datos durante la ejecución de un modelo. El número de columnas que tendrá la tabla es 9 con las coordenadas iniciales, finales y dos celdas más para fórmulas adicionales. El número de filas depende de la resolución de toma de datos del problema en particular. Para ver cómo funciona esta celda oprima New Sheet (Nueva hoja) seleccione el proyecto MOVIMIENTO PARABÓLICO de la lista y oprima +VECTOR, luego, para el vector velocidad coloque B40=25, B41=7, D41=a y E41=b; oprima Ejecutar (Run). Aparecerá, a partir de la celda indicada, una tabla con los datos de la simulación. La tabla sepuede borrar simplemente OPRIMIENO EL BOTÓN EN LA COLUMNA A DE ESTE VECTOR. En lugar de las letras a y b se pueden introducir otras funciones. El valor 0 para esta celda deshabilita esta función. Solo se aceptan valores numéricos positivos. Los datos pueden ser usados para otros estudios en Excel u otros programas de análisis de datos. </v>
      </c>
    </row>
    <row r="209" spans="27:32" x14ac:dyDescent="0.2">
      <c r="AA209" t="s">
        <v>298</v>
      </c>
      <c r="AB209" t="str">
        <f>HLOOKUP($Q$2,$AD$4:$AK$800,AD209)</f>
        <v>VECTOR LABEL. Enter here the vector label that will appear in the coordinate system next to the vector. PROPERTIES: If no value is entered, the vector will appear without a label in the system. You can also introduce variable label functions, see example in the QUADRUPOLE project for labels of the electric charges q1, q2, q3, q4.</v>
      </c>
      <c r="AD209">
        <v>206</v>
      </c>
      <c r="AE209" t="str">
        <f>$AE$119</f>
        <v>VECTOR LABEL. Enter here the vector label that will appear in the coordinate system next to the vector. PROPERTIES: If no value is entered, the vector will appear without a label in the system. You can also introduce variable label functions, see example in the QUADRUPOLE project for labels of the electric charges q1, q2, q3, q4.</v>
      </c>
      <c r="AF209" t="str">
        <f>$AF$119</f>
        <v>ETIQUETA DEL VECTOR. Ingrese aquí la etiqueta del vector que aparecerá en el sistema de coordenadas al lado del vector. PROPIEDADES: Si no se introduce ningún valor, el vector aparecerá sin etiqueta en el sistema de coordenadas. También se pueden introducir funciones de etiquetas variables, ver ejemplo en el proyecto CUADRUPOLO para etiquetas de las cargas q1, q2, q3, q4.</v>
      </c>
    </row>
    <row r="210" spans="27:32" x14ac:dyDescent="0.2">
      <c r="AA210" t="s">
        <v>301</v>
      </c>
      <c r="AB210" t="str">
        <f>HLOOKUP($Q$2,$AD$4:$AK$800,AD210)</f>
        <v>TYPE OF SHAPE to be represented in the coordinate system. The shape that is pre-established for ScienSolar is code 183.This shape is created in ScienSolar so that it perfectly represents a vector. However, you can use other forms for other purposes, but it should be noted that for codes other than 183 the rotations do not work correctly. PROPERTIES: values from 1 to 183 are accepted, negative values freeze their dimensions and do not obey rotation. Value 183 for vectors. Value 146 for a point in space. Value 200 to load a 3D object from the 3DModels sheet, thereby indicating the name of the object in the vector label (see as an example vector 2 of the 3D MODEL project). To easily view all shapes do the following: press RESET, then +VECTOR and enter the following values: B7 =I5, I3=1, I4=200, E5=60 and press the button --&gt; to navigate through the different values of I5, that is, B7. The value B=-114 allows loading a text box with indicator of a cell, for example B=-114 (negative), B9=15 and C9=4 will place the text box indicator in the cell that is in row 15 and column 4.</v>
      </c>
      <c r="AD210">
        <v>207</v>
      </c>
      <c r="AE210" t="str">
        <f>$AE$120</f>
        <v>TYPE OF SHAPE to be represented in the coordinate system. The shape that is pre-established for ScienSolar is code 183.This shape is created in ScienSolar so that it perfectly represents a vector. However, you can use other forms for other purposes, but it should be noted that for codes other than 183 the rotations do not work correctly. PROPERTIES: values from 1 to 183 are accepted, negative values freeze their dimensions and do not obey rotation. Value 183 for vectors. Value 146 for a point in space. Value 200 to load a 3D object from the 3DModels sheet, thereby indicating the name of the object in the vector label (see as an example vector 2 of the 3D MODEL project). To easily view all shapes do the following: press RESET, then +VECTOR and enter the following values: B7 =I5, I3=1, I4=200, E5=60 and press the button --&gt; to navigate through the different values of I5, that is, B7. The value B=-114 allows loading a text box with indicator of a cell, for example B=-114 (negative), B9=15 and C9=4 will place the text box indicator in the cell that is in row 15 and column 4.</v>
      </c>
      <c r="AF210" t="str">
        <f>$AF$120</f>
        <v>TIPO DE FORMA a representar en el sistema de coordenadas. La forma típica para ScienSolar es la de código 183. Esta forma está elaborada en ScienSolar para que represente perfectamente a un vector. Sin embargo se pueden utilizar otras formas para otros fines, pero cabe resaltar que para otros códigos diferentes a 183 las rotaciones  no funcionan correctamente. PROPIEDADES: se aceptan valores desde 1 hasta 183, los valores negativos congelan sus dimensiones y no obedecen a la rotación.  Valor 183 para vectores. Valor 146 para un punto en el espacio. Valor 200 para cargar un objeto 3D de la hoja 3DModels, con ello indicando en la etiqueta del vector el nombre del objeto (ver como ejemplo el vector 2 del proyecto MODELO 3D). Para visualizar  fácilmente todas las formas haga lo siguiente: oprima RESET (RESTABLECER), luego +VECTOR e introduzca los siguientes valores:  B7 =I5,  I3=1, I4=200, E5=60 y oprima el botón --&gt; para navegar por los diferentes valores de I5, es decir de B7.  El valor B=-114  permite cargar un cuadro de texto con indicador de una celda, por ejemplo B=-114 (negativo), B9=15 y C9=4 ubicará el indicador en la celda que está en la fila 15 y la columna 4.</v>
      </c>
    </row>
    <row r="211" spans="27:32" x14ac:dyDescent="0.2">
      <c r="AA211" t="s">
        <v>304</v>
      </c>
      <c r="AB211" t="str">
        <f>HLOOKUP($Q$2,$AD$4:$AK$800,AD211)</f>
        <v xml:space="preserve">VECTOR LINE TYPE_x000D_For a solid line, enter 1 and for different types of dotted lines, enter 2 to 12._x000D__x000D_CONTROL OF THE VECTOR SIZE IN THE COORDINATE SYSTEM_x000D_Change the size of the vectors by entering in the value of this cell an expression of the form 60*4, where instead of 60 any number greater than 15 is entered, thus indicating the percentage of the vector with respect to the size of the axes, and instead of 4 any number that indicates how sharply the field function changes. Use this setting especially in field mode to control that the size of the vectors does not exceed the size of the system coordinates, and the function of the field is controlled with the second number. For this function to be activated, the format 60*4 is required (the asterisk is mandatory, and without the equal sign). Remark: This function can change the actual appearance of the vectors. </v>
      </c>
      <c r="AD211">
        <v>208</v>
      </c>
      <c r="AE211" t="str">
        <f>$AE$121</f>
        <v xml:space="preserve">VECTOR LINE TYPE_x000D_For a solid line, enter 1 and for different types of dotted lines, enter 2 to 12._x000D__x000D_CONTROL OF THE VECTOR SIZE IN THE COORDINATE SYSTEM_x000D_Change the size of the vectors by entering in the value of this cell an expression of the form 60*4, where instead of 60 any number greater than 15 is entered, thus indicating the percentage of the vector with respect to the size of the axes, and instead of 4 any number that indicates how sharply the field function changes. Use this setting especially in field mode to control that the size of the vectors does not exceed the size of the system coordinates, and the function of the field is controlled with the second number. For this function to be activated, the format 60*4 is required (the asterisk is mandatory, and without the equal sign). Remark: This function can change the actual appearance of the vectors. </v>
      </c>
      <c r="AF211" t="str">
        <f>$AF$121</f>
        <v xml:space="preserve">TIPO DE LÍNEA DEL VECTOR_x000D_Para línea continua se introduce 1 y para diferentes tipos de línea punteada del 2 al 12._x000D__x000D_CONTROL DEL TAMAÑO DEL VECTOR EN EL SISTEMA DE COORDENADAS_x000D_Si el valor de esta celda es de la forma 60*4, en donde en lugar de 60 se introduce cualquier número  mayor que 15, se indica con esto el porcentaje del vector con respecto al tamaño de los ejes, y en lugar de 4 cualquier número  que indica el grado de agudeza con que la función del campo cambia. Utilice esta configuración especialmente en modo campo para controlar que el tamaño de los vectores no sobrepase el tamaño del sistema de coordenadas, y la función campo adquiera suavidad. Controle esta suavidad con el segundo número. Para que esta función se active es necesario el formato 60*4 (el asterisco es obligatorio, y sin el signo igual). Nota: esta función puede cambiar la apariencia real de los vectores. </v>
      </c>
    </row>
    <row r="212" spans="27:32" x14ac:dyDescent="0.2">
      <c r="AA212" t="s">
        <v>307</v>
      </c>
      <c r="AB212" t="str">
        <f>HLOOKUP($Q$2,$AD$4:$AK$800,AD212)</f>
        <v>Free cell for shape 183. For shape 200, the other rotation angle of the 3D object is entered here (see 3D MODEL project, vector2). For shape -114, the indicator position row.</v>
      </c>
      <c r="AD212">
        <v>209</v>
      </c>
      <c r="AE212" t="str">
        <f>$AE$122</f>
        <v>Free cell for shape 183. For shape 200, the other rotation angle of the 3D object is entered here (see 3D MODEL project, vector2). For shape -114, the indicator position row.</v>
      </c>
      <c r="AF212" t="str">
        <f>$AF$122</f>
        <v>Celda libre para la forma 183. Para la forma 200 se introduce aquí el otro ángulo de rotación del objeto 3D (ver proyecto MODELO 3D, vector2). Para la forma -114 se introduce aquí la fila de posición del indicador.</v>
      </c>
    </row>
    <row r="213" spans="27:32" x14ac:dyDescent="0.2">
      <c r="AA213" t="s">
        <v>310</v>
      </c>
      <c r="AB213" t="str">
        <f>HLOOKUP($Q$2,$AD$4:$AK$800,AD213)</f>
        <v xml:space="preserve">This cell indicates the initial position on the Y axis of the current vector. When working in FIELD mode, the code automatically deletes the data in this cell and replaces it with =B11, since in B11 all the initial values of the Y coordinates of the given field vectors will be traversed (in field mode) for a range in the Y coordinate. In this cell the user can enter constant values as well as functions.To see how it works, in a new ScienSolar sheet add a new vector and put in A12 = 4, B12 = 3, C12 = 0. Press XYZ, Put in other values and observe the changes in the coordinate system. </v>
      </c>
      <c r="AD213">
        <v>210</v>
      </c>
      <c r="AE213" t="str">
        <f>$AE$123</f>
        <v xml:space="preserve">This cell indicates the initial position on the Y axis of the current vector. When working in FIELD mode, the code automatically deletes the data in this cell and replaces it with =B11, since in B11 all the initial values of the Y coordinates of the given field vectors will be traversed (in field mode) for a range in the Y coordinate. In this cell the user can enter constant values as well as functions.To see how it works, in a new ScienSolar sheet add a new vector and put in A12 = 4, B12 = 3, C12 = 0. Press XYZ, Put in other values and observe the changes in the coordinate system. </v>
      </c>
      <c r="AF213" t="str">
        <f>$AF$123</f>
        <v xml:space="preserve">Esta celda indica la posición inicial en el eje Y del vector actual. Cuando se trabaja en modo CAMPO, el código automáticamente borra los datos de esta celda y los reemplaza por =B11, puesto que en B11 se recorrerán (en modo campo) todos los valores iniciales de las coordenadas en Y de los vectores del campo dados para un rango en la coordenada Y. En esta celda el usuario puede introducir valores constantes así como funciones.Para ver como funciona, en una nueva hoja de ScienSolar agregue un nuevo vector y en A12 = 4, B12= 3, C12 = 0. Oprima XYZ, Ponga otros valores y observe los cambios en el sistema de coordenadas. </v>
      </c>
    </row>
    <row r="214" spans="27:32" x14ac:dyDescent="0.2">
      <c r="AA214" t="s">
        <v>313</v>
      </c>
      <c r="AB214" t="str">
        <f>HLOOKUP($Q$2,$AD$4:$AK$800,AD214)</f>
        <v>This cell is used by the code when working in FIELD MODE to cycle through all coordinate values as variables. In other words, this cell is equivalent to the Y variable when working with a function f(y). As an example of using this cell, see the ELECTRIC DIPOLE, CYLINDRICAL SYMMETRY and SPHERICAL SYMMETRY projects. For scalar fields, see the FUNCTIONS project.</v>
      </c>
      <c r="AD214">
        <v>211</v>
      </c>
      <c r="AE214" t="str">
        <f>$AE$124</f>
        <v>This cell is used by the code when working in FIELD MODE to cycle through all coordinate values as variables. In other words, this cell is equivalent to the Y variable when working with a function f(y). As an example of using this cell, see the ELECTRIC DIPOLE, CYLINDRICAL SYMMETRY and SPHERICAL SYMMETRY projects. For scalar fields, see the FUNCTIONS project.</v>
      </c>
      <c r="AF214" t="str">
        <f>$AF$124</f>
        <v>Esta celda es usada por el código cuando se trabaja en MODO CAMPO para recorrer todos los valores de las coordenadas como variables. Dicho de otra manera, esta celda equivale a la variable y cuando se trabaja con una función f(y). Como ejemplo de uso de esta celda ver los proyectos DIPOLO ELÉCTRICO, SIMETRÍA CILÍNDRICA y SIMETRÍA ESFÉRICA. Para campos escalares ver el proyecto FUNCIONES.</v>
      </c>
    </row>
    <row r="215" spans="27:32" x14ac:dyDescent="0.2">
      <c r="AA215" t="s">
        <v>316</v>
      </c>
      <c r="AB215" t="str">
        <f>HLOOKUP($Q$2,$AD$4:$AK$800,AD215)</f>
        <v>In this cell the value of the coordinate on the Y axis of the vector is entered. When working in FIELD MODE, the function corresponding to the Y axis of the vector field is entered here. As an example of use of this cell see the ELECTRICAL DIPOLE, CYLINDRICAL SYMMETRY and SPHERICAL SYMMETRY projects. For scalar fields see the FUNCTIONS project.</v>
      </c>
      <c r="AD215">
        <v>212</v>
      </c>
      <c r="AE215" t="str">
        <f>$AE$125</f>
        <v>In this cell the value of the coordinate on the Y axis of the vector is entered. When working in FIELD MODE, the function corresponding to the Y axis of the vector field is entered here. As an example of use of this cell see the ELECTRICAL DIPOLE, CYLINDRICAL SYMMETRY and SPHERICAL SYMMETRY projects. For scalar fields see the FUNCTIONS project.</v>
      </c>
      <c r="AF215" t="str">
        <f>$AF$125</f>
        <v>En esta celda se introduce el valor de la coordenada en el eje Y del vector. Cuando se trabaja en MODO CAMPO, se introduce aquí la función correspondiente al eje Y del campo vectorial. Como ejemplo de uso de esta celda ver los proyectos DIPOLO ELÉCTRICO, SIMETRÍA CILÍNDRICA y SIMETRÍA ESFÉRICA. Para campos escalares ver el proyecto FUNCIONES.</v>
      </c>
    </row>
    <row r="216" spans="27:32" x14ac:dyDescent="0.2">
      <c r="AA216" t="s">
        <v>319</v>
      </c>
      <c r="AB216" t="str">
        <f>HLOOKUP($Q$2,$AD$4:$AK$800,AD216)</f>
        <v>ROW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B40=30, B41=10, D41=a and E41=b; press Run. A table with the simulation data will appear from the indicated cell. The table can be deleted simply by pressing the BUTTON IN COLUMN A of this vector. The value 0 for this cell disables this function. Only positive numerical values are accepted. The data can be used for other studies in Excel or other data analysis programs.</v>
      </c>
      <c r="AD216">
        <v>213</v>
      </c>
      <c r="AE216" t="str">
        <f>$AE$126</f>
        <v>ROW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B40=30, B41=10, D41=a and E41=b; press Run. A table with the simulation data will appear from the indicated cell. The table can be deleted simply by pressing the BUTTON IN COLUMN A of this vector. The value 0 for this cell disables this function. Only positive numerical values are accepted. The data can be used for other studies in Excel or other data analysis programs.</v>
      </c>
      <c r="AF216" t="str">
        <f>$AF$126</f>
        <v xml:space="preserve">NÚMERO DE FILA para el inicio de una tabla de salida de datos durante la ejecución de un modelo. El número de columnas que tendrá la tabla es 9 con las coordenadas iniciales, finales y dos celdas más para fórmulas adicionales. El número de filas depende de la resolución de toma de datos del problema en particular. Para ver cómo funciona esta celda oprima New Sheet (Nueva hoja) seleccione el proyecto MOVIMIENTO PARABÓLICO de la lista y oprima +VECTOR, luego, para el vector velocidad coloque B40=30, B41=10, D41=a y E41=b; oprima Ejecutar (Run). Aparecerá, a partir de la celda indicada, una tabla con los datos de la simulación. La tabla sepuede borrar simplemente OPRIMIENO EL BOTÓN EN LA COLUMNA A DE ESTE VECTOR. En lugar de las letras a y b se pueden introducir otras funciones. El valor 0 para esta celda deshabilita esta función. Solo se aceptan valores numéricos positivos. Los datos pueden ser usados para otros estudios en Excel u otros programas de análisis de datos. </v>
      </c>
    </row>
    <row r="217" spans="27:32" x14ac:dyDescent="0.2">
      <c r="AA217" t="s">
        <v>322</v>
      </c>
      <c r="AB217" t="str">
        <f>HLOOKUP($Q$2,$AD$4:$AK$800,AD217)</f>
        <v>COLUMN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B40=25, B41=10, D41=a and E41=b; press Run. A table with the simulation data will appear from the indicated cell. The table HEcan be deleted simply by by pressing the BUTTON IN COLUMN A of this vector. The value 0 for this cell disables this function. Only positive numerical values are accepted. The data can be used for other studies in Excel or other data analysis programs.</v>
      </c>
      <c r="AD217">
        <v>214</v>
      </c>
      <c r="AE217" t="str">
        <f>$AE$127</f>
        <v>COLUMN NUMBER for the start of a data output table during the execution of a model. The number of columns the table will have is 9 with the initial and final coordinates and two more cells for additional formulas. The number of rows depends on the data collection resolution of the particular problem. To see how this cell works press New Sheet, select the PARABOLIC MOTION project from the list and press +VECTOR, then, for the velocity vector, place B40=25, B41=10, D41=a and E41=b; press Run. A table with the simulation data will appear from the indicated cell. The table HEcan be deleted simply by by pressing the BUTTON IN COLUMN A of this vector. The value 0 for this cell disables this function. Only positive numerical values are accepted. The data can be used for other studies in Excel or other data analysis programs.</v>
      </c>
      <c r="AF217" t="str">
        <f>$AF$127</f>
        <v xml:space="preserve">NÚMERO DE COLUMNA para el inicio de una tabla de salida de datos durante la ejecución de un modelo. El número de columnas que tendrá la tabla es 9 con las coordenadas iniciales, finales y dos celdas más para fórmulas adicionales. El número de filas depende de la resolución de toma de datos del problema en particular. Para ver cómo funciona esta celda oprima New Sheet (Nueva hoja) seleccione el proyecto MOVIMIENTO PARABÓLICO de la lista y oprima +VECTOR, luego, para el vector velocidad coloque B40=25, B41=7, D41=a y E41=b; oprima Ejecutar (Run). Aparecerá, a partir de la celda indicada, una tabla con los datos de la simulación. La tabla sepuede borrar simplemente OPRIMIENO EL BOTÓN EN LA COLUMNA A DE ESTE VECTOR. En lugar de las letras a y b se pueden introducir otras funciones. El valor 0 para esta celda deshabilita esta función. Solo se aceptan valores numéricos positivos. Los datos pueden ser usados para otros estudios en Excel u otros programas de análisis de datos. </v>
      </c>
    </row>
    <row r="218" spans="27:32" x14ac:dyDescent="0.2">
      <c r="AA218" t="s">
        <v>14</v>
      </c>
      <c r="AB218" t="str">
        <f>HLOOKUP($Q$2,$AD$4:$AK$800,AD218)</f>
        <v>Free cell.</v>
      </c>
      <c r="AD218">
        <v>215</v>
      </c>
      <c r="AE218" t="s">
        <v>332</v>
      </c>
      <c r="AF218" t="s">
        <v>840</v>
      </c>
    </row>
    <row r="219" spans="27:32" x14ac:dyDescent="0.2">
      <c r="AA219" t="s">
        <v>17</v>
      </c>
      <c r="AB219" t="str">
        <f>HLOOKUP($Q$2,$AD$4:$AK$800,AD219)</f>
        <v>Free cell.</v>
      </c>
      <c r="AD219">
        <v>216</v>
      </c>
      <c r="AE219" t="s">
        <v>332</v>
      </c>
      <c r="AF219" t="s">
        <v>840</v>
      </c>
    </row>
    <row r="220" spans="27:32" x14ac:dyDescent="0.2">
      <c r="AA220" t="s">
        <v>20</v>
      </c>
      <c r="AB220" t="str">
        <f>HLOOKUP($Q$2,$AD$4:$AK$800,AD220)</f>
        <v>In a particular project, packages of cells can be configured that represent more complex objects than a simple vector. Use these buttons to add or remove these objects from the model. Specify in this cell the row number at which the object will end. To see how this button and this cell work, go to the 3D PYRAMID project.</v>
      </c>
      <c r="AD220">
        <v>217</v>
      </c>
      <c r="AE220" t="s">
        <v>873</v>
      </c>
      <c r="AF220" t="s">
        <v>842</v>
      </c>
    </row>
    <row r="221" spans="27:32" x14ac:dyDescent="0.2">
      <c r="AA221" t="s">
        <v>23</v>
      </c>
      <c r="AB221" t="str">
        <f>HLOOKUP($Q$2,$AD$4:$AK$800,AD221)</f>
        <v>Default label of the new vector to be downloaded. This cell requires no action. To see how this works, in a new sheet, type the letter E in this cell and press +Vector.</v>
      </c>
      <c r="AD221">
        <v>218</v>
      </c>
      <c r="AE221" t="s">
        <v>874</v>
      </c>
      <c r="AF221" t="s">
        <v>863</v>
      </c>
    </row>
    <row r="222" spans="27:32" x14ac:dyDescent="0.2">
      <c r="AA222" t="s">
        <v>26</v>
      </c>
      <c r="AB222" t="str">
        <f>HLOOKUP($Q$2,$AD$4:$AK$800,AD222)</f>
        <v>Free cell.</v>
      </c>
      <c r="AD222">
        <v>219</v>
      </c>
      <c r="AE222" t="s">
        <v>332</v>
      </c>
      <c r="AF222" t="s">
        <v>840</v>
      </c>
    </row>
    <row r="223" spans="27:32" x14ac:dyDescent="0.2">
      <c r="AA223" t="s">
        <v>29</v>
      </c>
      <c r="AB223" t="str">
        <f>HLOOKUP($Q$2,$AD$4:$AK$800,AD223)</f>
        <v xml:space="preserve">Color of the vector or shape that is loaded into the coordinate system. Change the background color of this cell with the respective Excel tool and will change the color of the vector (after pressing XYZ). This cell is free to use with data or formulas. To see how it works, in a new ScienSolar sheet press +Vector, then change the color of this cell and press XYZ. Change the shape code to 114 (instead of 183), press YZ, change the color and press YZ again. </v>
      </c>
      <c r="AD223">
        <v>220</v>
      </c>
      <c r="AE223" t="s">
        <v>875</v>
      </c>
      <c r="AF223" t="s">
        <v>864</v>
      </c>
    </row>
    <row r="224" spans="27:32" x14ac:dyDescent="0.2">
      <c r="AA224" t="s">
        <v>32</v>
      </c>
      <c r="AB224" t="str">
        <f>HLOOKUP($Q$2,$AD$4:$AK$800,AD224)</f>
        <v>FIELD MODE. Possible values:_x000D_o --&gt; Cartesian Coordinates,_x000D_c --&gt; Cylindrical Coordinates,_x000D_s --&gt; Spherical Coordinates,_x000D_empty --&gt; Field Mode disabled._x000D__x000D_Once one of these values has been entered (in lower case and without the equal sign), pressing XYZ will display a string of values explained below. Only the values in brackets should be modified according to the units of the coordinates:_x000D__x000D_CARTESIAN COORDINATES:_x000D_o[5]x=[40;40] --&gt; Step and range in x,_x000D_o2[20]y=[-100;100] --&gt; Step and range in y,_x000D_o3[40]z=[0;100] --&gt; Step and range in z,_x000D__x000D_CYLINDRICAL COORDINATES:_x000D_c[5]rho=[40;40] --&gt; Step and range in rho,_x000D_c2[20]phi=[0;360] --&gt; Step and range in phi,_x000D_c3[40]z=[0;100] --&gt; Step and range in z,_x000D__x000D_SPHERICAL COORDINATES:_x000D_s[5]r=[40;40] --&gt; Step and range in r,_x000D_s2[20]phi=[180;270] --&gt; Step and range in phi,_x000D_s3[5]theta=[0;90] --&gt; Step and range in theta,_x000D__x000D_color=[80] --&gt; Approximate magnitude of the largest vector to distribute the color gradient in all vectors according to their magnitude,_x000D_[cart.]=[0;0;0] --&gt; Shift of the origin of coordinates with respect to the original,_x000D_tfactor=0.001386089s --&gt; Information on the time of placing a single vector on the sheet. No action required._x000D__x000D_PROPERTIES: This cell can only be used to clone the vectors in three-dimensional space. When it is empty, its function is inactive. The distribution of the vectors can be done in three ways: through Cartesian, cylindrical or spherical coordinates. Examples of application of this function can be seen in vector 5 of the ELECTRIC DIPOLE project and a more advanced form of its use in projectsELECTRIC DIPOLE, PLANE SYMMETRY, CYLINDRICAL SYMMETRY and SPHERICAL SYMMETRY.</v>
      </c>
      <c r="AD224">
        <v>221</v>
      </c>
      <c r="AE224" t="s">
        <v>876</v>
      </c>
      <c r="AF224" t="s">
        <v>865</v>
      </c>
    </row>
    <row r="225" spans="27:32" x14ac:dyDescent="0.2">
      <c r="AA225" t="s">
        <v>35</v>
      </c>
      <c r="AB225" t="str">
        <f>HLOOKUP($Q$2,$AD$4:$AK$800,AD225)</f>
        <v>Transparency of the current vector. Positive decimal values are accepted from 0 to 1, where with the value 0 it has no transparency and with the value 1 its transparency is total. This function is useful for example for auxiliary vectors that are not directly part of the problem.</v>
      </c>
      <c r="AD225">
        <v>222</v>
      </c>
      <c r="AE225" t="s">
        <v>877</v>
      </c>
      <c r="AF225" t="s">
        <v>866</v>
      </c>
    </row>
    <row r="226" spans="27:32" x14ac:dyDescent="0.2">
      <c r="AA226" t="s">
        <v>38</v>
      </c>
      <c r="AB226" t="str">
        <f>HLOOKUP($Q$2,$AD$4:$AK$800,AD226)</f>
        <v>Free cell for form 183. For form -114, the indicator position column is entered here (the row is entered in the adjacent cell on the left.) _x000D__x000D_To see how it works, open a new ScienSolar sheet, press +Vector to add a new vector and place (with minus sign) B7=-114, B9=6,C9= 3 for the purpose of targeting the color cell.Press YZ to see the result. Change the values B9=8,C9=5 to point to the cell in row 8, column 5. Set B10=3 to C10=3 to change the position of the square.Set B12=8, C12=3 to resize. Press YZ to see the result. Press &gt;&gt;C to rotate the coordinate system. Remove the minus sign at B7, B7=114. Press &gt;&gt;C again to see the difference.</v>
      </c>
      <c r="AD226">
        <v>223</v>
      </c>
      <c r="AE226" t="s">
        <v>878</v>
      </c>
      <c r="AF226" t="s">
        <v>867</v>
      </c>
    </row>
    <row r="227" spans="27:32" x14ac:dyDescent="0.2">
      <c r="AA227" t="s">
        <v>41</v>
      </c>
      <c r="AB227" t="str">
        <f>HLOOKUP($Q$2,$AD$4:$AK$800,AD227)</f>
        <v>This cell indicates the initial position on the Z axis of the current vector. When working in FIELD mode, the code automatically deletes the data in this cell and replaces it with =C11, since in C11 will traverse (in field mode) all the initial values of the Z coordinates of the given field vectors for a range in the Z coordinate. In this cell the user can enter constant values as well as functions._x000D__x000D_ To see how it works, in a new ScienSolar sheet add a new vector and set A12 = 4, B12 = 3, C12 = 0. Press the XYZ button. Enter other values and observe the changes in the coordinate system.</v>
      </c>
      <c r="AD227">
        <v>224</v>
      </c>
      <c r="AE227" t="s">
        <v>879</v>
      </c>
      <c r="AF227" t="s">
        <v>868</v>
      </c>
    </row>
    <row r="228" spans="27:32" x14ac:dyDescent="0.2">
      <c r="AA228" t="s">
        <v>44</v>
      </c>
      <c r="AB228" t="str">
        <f>HLOOKUP($Q$2,$AD$4:$AK$800,AD228)</f>
        <v>This cell is used by the code when working in FIELD MODE to cycle through all the coordinate values as variables. In other words, this cell is equivalent to the variable z when working with a function f(z). As an example of using this cell, see the ELECTRICAL DIPOLE, CYLINDRICAL SYMMETRY and SPHERICAL SYMMETRY projects. For scalar fields, see the FUNCTIONS project.</v>
      </c>
      <c r="AD228">
        <v>225</v>
      </c>
      <c r="AE228" t="s">
        <v>880</v>
      </c>
      <c r="AF228" t="s">
        <v>869</v>
      </c>
    </row>
    <row r="229" spans="27:32" x14ac:dyDescent="0.2">
      <c r="AA229" t="s">
        <v>47</v>
      </c>
      <c r="AB229" t="str">
        <f>HLOOKUP($Q$2,$AD$4:$AK$800,AD229)</f>
        <v>In this cell the value of the coordinate on the Z axis of the vector is entered. When working in FIELD MODE, the function corresponding to the Z axis of the vector field is entered here. As an example of use of this cell see the ELECTRICAL DIPOLE, CYLINDRICAL SYMMETRY and SPHERICAL SYMMETRY projects. For scalar fields see the FUNCTIONS project.</v>
      </c>
      <c r="AD229">
        <v>226</v>
      </c>
      <c r="AE229" t="s">
        <v>881</v>
      </c>
      <c r="AF229" t="s">
        <v>870</v>
      </c>
    </row>
    <row r="230" spans="27:32" x14ac:dyDescent="0.2">
      <c r="AA230" t="s">
        <v>50</v>
      </c>
      <c r="AB230" t="str">
        <f>HLOOKUP($Q$2,$AD$4:$AK$800,AD230)</f>
        <v>Vector HISTORY cell. Possible values 1 and 2. With the value 2 the vector will leave a trace of its path in the spreadsheet, which is visible when the vector changes position. When the value 1 is placed after having had the value 2, the old vectors will disappear from gradually when some action is executed._x000D__x000D_To see how it works, in a new ScienSolar sheet add a vector (by pressing the +Vector button) and enter the number 2 in cell C13=2. Press the rotate button &gt;&gt;C. Now change the initial positions of the vector and its coordinates and press &gt;&gt;C again. You will notice that a set of vectors appears in the coordinate system. Then enter C13=1 and press &gt;&gt;C to see the vectors gradually disappear. Press &gt;&gt;C again for their complete disappearance. If you want the vectors to disappear instantly, you must enter a value greater than 5000 in cell A8, for example A8=6000, and press any refresh button.</v>
      </c>
      <c r="AD230">
        <v>227</v>
      </c>
      <c r="AE230" t="s">
        <v>882</v>
      </c>
      <c r="AF230" t="s">
        <v>871</v>
      </c>
    </row>
    <row r="231" spans="27:32" x14ac:dyDescent="0.2">
      <c r="AA231" t="s">
        <v>53</v>
      </c>
      <c r="AB231" t="str">
        <f>HLOOKUP($Q$2,$AD$4:$AK$800,AD231)</f>
        <v>Vector thickness. The default value is 1. For thicker vectors enter a value greater than 1. Here, as in other configuration cells, dynamic formulas can be entered that change the appearance of the vectors depending on certain particular parameters for each project.</v>
      </c>
      <c r="AD231">
        <v>228</v>
      </c>
      <c r="AE231" t="s">
        <v>883</v>
      </c>
      <c r="AF231" t="s">
        <v>872</v>
      </c>
    </row>
    <row r="232" spans="27:32" x14ac:dyDescent="0.2">
      <c r="AA232" t="s">
        <v>56</v>
      </c>
      <c r="AB232" t="str">
        <f>HLOOKUP($Q$2,$AD$4:$AK$800,AD232)</f>
        <v xml:space="preserve">Color of the vector or shape that is loaded into the coordinate system. Change the background color of this cell with the respective Excel tool and will change the color of the vector (after pressing XYZ). This cell is free to use with data or formulas. To see how it works, in a new ScienSolar sheet press +Vector, then change the color of this cell and press XYZ. Change the shape code to 114 (instead of 183), press YZ, change the color and press YZ again. </v>
      </c>
      <c r="AD232">
        <v>229</v>
      </c>
      <c r="AE232" t="str">
        <f>$AE$223</f>
        <v xml:space="preserve">Color of the vector or shape that is loaded into the coordinate system. Change the background color of this cell with the respective Excel tool and will change the color of the vector (after pressing XYZ). This cell is free to use with data or formulas. To see how it works, in a new ScienSolar sheet press +Vector, then change the color of this cell and press XYZ. Change the shape code to 114 (instead of 183), press YZ, change the color and press YZ again. </v>
      </c>
      <c r="AF232" t="str">
        <f>$AF$223</f>
        <v>Color del vector o de la forma que se carga al sistema de coordenadas. Cambie el color de fondo de esta celda con la respectiva herramienta de Excel  y cambiará el color del vector (luego de oprimir XYZ). Esta celda está libre para utilizarla con datos o fórmulas. Para ver cómo funciona,  en una nueva hoja de ScienSolar oprima +Vector, luego cambie el color de esta celda y oprima XYZ. Cambie el código de la forma a 114 (en lugar de 183), oprima YZ, cambie el color y vuelva a oprimir YZ.</v>
      </c>
    </row>
    <row r="233" spans="27:32" x14ac:dyDescent="0.2">
      <c r="AA233" t="s">
        <v>59</v>
      </c>
      <c r="AB233" t="str">
        <f>HLOOKUP($Q$2,$AD$4:$AK$800,AD233)</f>
        <v>FIELD MODE. Possible values:_x000D_o --&gt; Cartesian Coordinates,_x000D_c --&gt; Cylindrical Coordinates,_x000D_s --&gt; Spherical Coordinates,_x000D_empty --&gt; Field Mode disabled._x000D__x000D_Once one of these values has been entered (in lower case and without the equal sign), pressing XYZ will display a string of values explained below. Only the values in brackets should be modified according to the units of the coordinates:_x000D__x000D_CARTESIAN COORDINATES:_x000D_o[5]x=[40;40] --&gt; Step and range in x,_x000D_o2[20]y=[-100;100] --&gt; Step and range in y,_x000D_o3[40]z=[0;100] --&gt; Step and range in z,_x000D__x000D_CYLINDRICAL COORDINATES:_x000D_c[5]rho=[40;40] --&gt; Step and range in rho,_x000D_c2[20]phi=[0;360] --&gt; Step and range in phi,_x000D_c3[40]z=[0;100] --&gt; Step and range in z,_x000D__x000D_SPHERICAL COORDINATES:_x000D_s[5]r=[40;40] --&gt; Step and range in r,_x000D_s2[20]phi=[180;270] --&gt; Step and range in phi,_x000D_s3[5]theta=[0;90] --&gt; Step and range in theta,_x000D__x000D_color=[80] --&gt; Approximate magnitude of the largest vector to distribute the color gradient in all vectors according to their magnitude,_x000D_[cart.]=[0;0;0] --&gt; Shift of the origin of coordinates with respect to the original,_x000D_tfactor=0.001386089s --&gt; Information on the time of placing a single vector on the sheet. No action required._x000D__x000D_PROPERTIES: This cell can only be used to clone the vectors in three-dimensional space. When it is empty, its function is inactive. The distribution of the vectors can be done in three ways: through Cartesian, cylindrical or spherical coordinates. Examples of application of this function can be seen in vector 5 of the ELECTRIC DIPOLE project and a more advanced form of its use in projectsELECTRIC DIPOLE, PLANE SYMMETRY, CYLINDRICAL SYMMETRY and SPHERICAL SYMMETRY.</v>
      </c>
      <c r="AD233">
        <v>230</v>
      </c>
      <c r="AE233" t="str">
        <f>$AE$224</f>
        <v>FIELD MODE. Possible values:_x000D_o --&gt; Cartesian Coordinates,_x000D_c --&gt; Cylindrical Coordinates,_x000D_s --&gt; Spherical Coordinates,_x000D_empty --&gt; Field Mode disabled._x000D__x000D_Once one of these values has been entered (in lower case and without the equal sign), pressing XYZ will display a string of values explained below. Only the values in brackets should be modified according to the units of the coordinates:_x000D__x000D_CARTESIAN COORDINATES:_x000D_o[5]x=[40;40] --&gt; Step and range in x,_x000D_o2[20]y=[-100;100] --&gt; Step and range in y,_x000D_o3[40]z=[0;100] --&gt; Step and range in z,_x000D__x000D_CYLINDRICAL COORDINATES:_x000D_c[5]rho=[40;40] --&gt; Step and range in rho,_x000D_c2[20]phi=[0;360] --&gt; Step and range in phi,_x000D_c3[40]z=[0;100] --&gt; Step and range in z,_x000D__x000D_SPHERICAL COORDINATES:_x000D_s[5]r=[40;40] --&gt; Step and range in r,_x000D_s2[20]phi=[180;270] --&gt; Step and range in phi,_x000D_s3[5]theta=[0;90] --&gt; Step and range in theta,_x000D__x000D_color=[80] --&gt; Approximate magnitude of the largest vector to distribute the color gradient in all vectors according to their magnitude,_x000D_[cart.]=[0;0;0] --&gt; Shift of the origin of coordinates with respect to the original,_x000D_tfactor=0.001386089s --&gt; Information on the time of placing a single vector on the sheet. No action required._x000D__x000D_PROPERTIES: This cell can only be used to clone the vectors in three-dimensional space. When it is empty, its function is inactive. The distribution of the vectors can be done in three ways: through Cartesian, cylindrical or spherical coordinates. Examples of application of this function can be seen in vector 5 of the ELECTRIC DIPOLE project and a more advanced form of its use in projectsELECTRIC DIPOLE, PLANE SYMMETRY, CYLINDRICAL SYMMETRY and SPHERICAL SYMMETRY.</v>
      </c>
      <c r="AF233" t="str">
        <f>$AF$224</f>
        <v>MODO CAMPO. Posibles valores:_x000D_o --&gt; coordenadas cartesianas,_x000D_c --&gt; coordenadas cilíndricas,_x000D_s --&gt; coordenadas esféricas,_x000D_vacía --&gt; modo campo deshabilitado._x000D__x000D_Una vez ingresado uno de estos valores (en minúscula y sin el signo igual), oprimiendo XYZ aparecerá una cadena de valores que se explica a continuación. Se deben modificar únicamente los valores entre corchetes de acuerdo a las unidades de las coordenadas:_x000D__x000D_COORDENADAS CARTESIANAS:_x000D_o[5]x=[40;40] --&gt; paso y rango en x,_x000D_o2[20]y=[-100;100] --&gt; paso y rango en y,_x000D_o3[40]z=[0;100] --&gt; paso y rango en z,_x000D__x000D_COORDENADAS CILÍNDRICAS:_x000D_c[5]rho=[40;40] --&gt; paso y rango en rho,_x000D_c2[20]phi=[0;360] --&gt; paso y rango en phi,_x000D_c3[40]z=[0;100] --&gt; paso y rango en z,_x000D__x000D_COORDENADAS ESFÉRICAS:_x000D_s[5]r=[40;40] --&gt; paso y rango en r,_x000D_s2[20]phi=[180;270] --&gt; paso y rango en phi,_x000D_s3[5]theta=[0;90] --&gt; paso y rango en theta,_x000D__x000D_color=[80] --&gt; magnitud aproximada del mayor vector para distribuir el gradiente de color en todos los vectores de acuerdo a su magnitud,_x000D_[cart.]=[0;0;0] --&gt; corrimiento del origen de coordenadas con respecto al original,_x000D_tfactor=0,001386089s --&gt; información del tiempo de puesta de un solo vector en la hoja. No requiere ninguna acción._x000D__x000D_PROPIEDADES: Esta celda sólo puede ser usada para clonar los vectores en el espacio tridimensional. Cuando está vacía, su función se inactiva. La distribución de los vectores se puede hacer de tres maneras: a través de coordenadas cartesianas, cilíndricas o esféricas. Ejemplos de aplicación de esta función se pueden ver en en el vector 5 del proyecto DIPOLO ELÉCTRICO y una forma más avanzada de su uso en los proyectos DIPOLO ELÉCTRICO, SIMETRÍA PLANA, SIMETRÍA CILÍNDRICA y SIMETRÍA ESFÉRICA.</v>
      </c>
    </row>
    <row r="234" spans="27:32" x14ac:dyDescent="0.2">
      <c r="AA234" t="s">
        <v>62</v>
      </c>
      <c r="AB234" t="str">
        <f>HLOOKUP($Q$2,$AD$4:$AK$800,AD234)</f>
        <v>Transparency of the current vector. Positive decimal values are accepted from 0 to 1, where with the value 0 it has no transparency and with the value 1 its transparency is total. This function is useful for example for auxiliary vectors that are not directly part of the problem.</v>
      </c>
      <c r="AD234">
        <v>231</v>
      </c>
      <c r="AE234" t="str">
        <f>$AE$225</f>
        <v>Transparency of the current vector. Positive decimal values are accepted from 0 to 1, where with the value 0 it has no transparency and with the value 1 its transparency is total. This function is useful for example for auxiliary vectors that are not directly part of the problem.</v>
      </c>
      <c r="AF234" t="str">
        <f>$AF$225</f>
        <v xml:space="preserve">Transparencia del vector en curso. Se aceptan valores positivos decimales desde 0 hasta 1, en donde con el valor 0 no tiene transparencia y con el valor 1 su transparencia es total. Esta función es útil por ejemplo para vectores auxiliares que no hacen parte del problema directamente.  </v>
      </c>
    </row>
    <row r="235" spans="27:32" x14ac:dyDescent="0.2">
      <c r="AA235" t="s">
        <v>65</v>
      </c>
      <c r="AB235" t="str">
        <f>HLOOKUP($Q$2,$AD$4:$AK$800,AD235)</f>
        <v>Free cell for form 183. For form -114, the indicator position column is entered here (the row is entered in the adjacent cell on the left.) _x000D__x000D_To see how it works, open a new ScienSolar sheet, press +Vector to add a new vector and place (with minus sign) B7=-114, B9=6,C9= 3 for the purpose of targeting the color cell.Press YZ to see the result. Change the values B9=8,C9=5 to point to the cell in row 8, column 5. Set B10=3 to C10=3 to change the position of the square.Set B12=8, C12=3 to resize. Press YZ to see the result. Press &gt;&gt;C to rotate the coordinate system. Remove the minus sign at B7, B7=114. Press &gt;&gt;C again to see the difference.</v>
      </c>
      <c r="AD235">
        <v>232</v>
      </c>
      <c r="AE235" t="str">
        <f>$AE$226</f>
        <v>Free cell for form 183. For form -114, the indicator position column is entered here (the row is entered in the adjacent cell on the left.) _x000D__x000D_To see how it works, open a new ScienSolar sheet, press +Vector to add a new vector and place (with minus sign) B7=-114, B9=6,C9= 3 for the purpose of targeting the color cell.Press YZ to see the result. Change the values B9=8,C9=5 to point to the cell in row 8, column 5. Set B10=3 to C10=3 to change the position of the square.Set B12=8, C12=3 to resize. Press YZ to see the result. Press &gt;&gt;C to rotate the coordinate system. Remove the minus sign at B7, B7=114. Press &gt;&gt;C again to see the difference.</v>
      </c>
      <c r="AF235" t="str">
        <f>$AF$226</f>
        <v>Celda libre para la forma 183. Para la forma -114 se introduce aquí la columna de posición del indicador (la fila se introduce en la celda contigua de la izquierda.) _x000D__x000D_Para ver cómo funciona, abra una nueva hoja de ScienSolar, oprima +Vector para agregar un nuevo vector y coloque (con signo menos) B7=-114, B9=6,C9=3 con el propósito de apuntar a la celda del color. Oprima YZ para ver el resultado. Cambie los valores B9=8,C9=5 para apuntar a la celda que se encuentra en la fila 8, columna 5. Coloque B10=3 C10=3 para cambiar la posición del cuadrado. Coloque B12=8, C12=3 para cambiar su tamaño. Oprima YZ para ver el resultado. Oprima &gt;&gt;C para rotar el sistema de coordenadas. Quite el signo menos en B7, B7=114. Oprima de nuevo &gt;&gt;C para ver la diferencia.</v>
      </c>
    </row>
    <row r="236" spans="27:32" x14ac:dyDescent="0.2">
      <c r="AA236" t="s">
        <v>68</v>
      </c>
      <c r="AB236" t="str">
        <f>HLOOKUP($Q$2,$AD$4:$AK$800,AD236)</f>
        <v>This cell indicates the initial position on the Z axis of the current vector. When working in FIELD mode, the code automatically deletes the data in this cell and replaces it with =C11, since in C11 will traverse (in field mode) all the initial values of the Z coordinates of the given field vectors for a range in the Z coordinate. In this cell the user can enter constant values as well as functions._x000D__x000D_ To see how it works, in a new ScienSolar sheet add a new vector and set A12 = 4, B12 = 3, C12 = 0. Press the XYZ button. Enter other values and observe the changes in the coordinate system.</v>
      </c>
      <c r="AD236">
        <v>233</v>
      </c>
      <c r="AE236" t="str">
        <f>$AE$227</f>
        <v>This cell indicates the initial position on the Z axis of the current vector. When working in FIELD mode, the code automatically deletes the data in this cell and replaces it with =C11, since in C11 will traverse (in field mode) all the initial values of the Z coordinates of the given field vectors for a range in the Z coordinate. In this cell the user can enter constant values as well as functions._x000D__x000D_ To see how it works, in a new ScienSolar sheet add a new vector and set A12 = 4, B12 = 3, C12 = 0. Press the XYZ button. Enter other values and observe the changes in the coordinate system.</v>
      </c>
      <c r="AF236" t="str">
        <f>$AF$227</f>
        <v xml:space="preserve">Esta celda indica la posición inicial en el eje Z del vector actual. Cuando se trabaja en modo CAMPO, el código automáticamente borra los datos de esta celda y los reemplaza por =C11, puesto que en C11 se recorrerán (en modo campo) todos los valores iniciales de las coordenadas en Z de los vectores del campo dados para un rango en la coordenada Z. En esta celda el usuario puede introducir valores constantes así como funciones._x000D__x000D_ Para ver como funciona, en una nueva hoja de ScienSolar agregue un nuevo vector y en A12 = 4, B12= 3, C12 = 0. Oprima XYZ. Ponga otros valores y observe los cambios en el sistema de coordenadas. </v>
      </c>
    </row>
    <row r="237" spans="27:32" x14ac:dyDescent="0.2">
      <c r="AA237" t="s">
        <v>71</v>
      </c>
      <c r="AB237" t="str">
        <f>HLOOKUP($Q$2,$AD$4:$AK$800,AD237)</f>
        <v>This cell is used by the code when working in FIELD MODE to cycle through all the coordinate values as variables. In other words, this cell is equivalent to the variable z when working with a function f(z). As an example of using this cell, see the ELECTRICAL DIPOLE, CYLINDRICAL SYMMETRY and SPHERICAL SYMMETRY projects. For scalar fields, see the FUNCTIONS project.</v>
      </c>
      <c r="AD237">
        <v>234</v>
      </c>
      <c r="AE237" t="str">
        <f>$AE$228</f>
        <v>This cell is used by the code when working in FIELD MODE to cycle through all the coordinate values as variables. In other words, this cell is equivalent to the variable z when working with a function f(z). As an example of using this cell, see the ELECTRICAL DIPOLE, CYLINDRICAL SYMMETRY and SPHERICAL SYMMETRY projects. For scalar fields, see the FUNCTIONS project.</v>
      </c>
      <c r="AF237" t="str">
        <f>$AF$228</f>
        <v>Esta celda es usada por el código cuando se trabaja en MODO CAMPO para recorrer todos los valores de las coordenadas como variables. Dicho de otra manera, esta celda equivale a la variable z cuando se trabaja con una función f(z). Como ejemplo de uso de esta celda ver los proyectos DIPOLO ELÉCTRICO, SIMETRÍA CILÍNDRICA y SIMETRÍA ESFÉRICA. Para campos escalares ver el proyecto FUNCIONES.</v>
      </c>
    </row>
    <row r="238" spans="27:32" x14ac:dyDescent="0.2">
      <c r="AA238" t="s">
        <v>74</v>
      </c>
      <c r="AB238" t="str">
        <f>HLOOKUP($Q$2,$AD$4:$AK$800,AD238)</f>
        <v>In this cell the value of the coordinate on the Z axis of the vector is entered. When working in FIELD MODE, the function corresponding to the Z axis of the vector field is entered here. As an example of use of this cell see the ELECTRICAL DIPOLE, CYLINDRICAL SYMMETRY and SPHERICAL SYMMETRY projects. For scalar fields see the FUNCTIONS project.</v>
      </c>
      <c r="AD238">
        <v>235</v>
      </c>
      <c r="AE238" t="str">
        <f>$AE$229</f>
        <v>In this cell the value of the coordinate on the Z axis of the vector is entered. When working in FIELD MODE, the function corresponding to the Z axis of the vector field is entered here. As an example of use of this cell see the ELECTRICAL DIPOLE, CYLINDRICAL SYMMETRY and SPHERICAL SYMMETRY projects. For scalar fields see the FUNCTIONS project.</v>
      </c>
      <c r="AF238" t="str">
        <f>$AF$229</f>
        <v>En esta celda se introduce el valor de la coordenada en el eje Z del vector. Cuando se trabaja en MODO CAMPO, se introduce aquí la función correspondiente al eje Z del campo vectorial. Como ejemplo de uso de esta celda ver los proyectos  DIPOLO ELÉCTRICO, SIMETRÍA CILÍNDRICA y SIMETRÍA ESFÉRICA. Para campos escalares ver el proyecto FUNCIONES.</v>
      </c>
    </row>
    <row r="239" spans="27:32" x14ac:dyDescent="0.2">
      <c r="AA239" t="s">
        <v>77</v>
      </c>
      <c r="AB239" t="str">
        <f>HLOOKUP($Q$2,$AD$4:$AK$800,AD239)</f>
        <v>Vector HISTORY cell. Possible values 1 and 2. With the value 2 the vector will leave a trace of its path in the spreadsheet, which is visible when the vector changes position. When the value 1 is placed after having had the value 2, the old vectors will disappear from gradually when some action is executed._x000D__x000D_To see how it works, in a new ScienSolar sheet add a vector (by pressing the +Vector button) and enter the number 2 in cell C13=2. Press the rotate button &gt;&gt;C. Now change the initial positions of the vector and its coordinates and press &gt;&gt;C again. You will notice that a set of vectors appears in the coordinate system. Then enter C13=1 and press &gt;&gt;C to see the vectors gradually disappear. Press &gt;&gt;C again for their complete disappearance. If you want the vectors to disappear instantly, you must enter a value greater than 5000 in cell A8, for example A8=6000, and press any refresh button.</v>
      </c>
      <c r="AD239">
        <v>236</v>
      </c>
      <c r="AE239" t="str">
        <f>$AE$230</f>
        <v>Vector HISTORY cell. Possible values 1 and 2. With the value 2 the vector will leave a trace of its path in the spreadsheet, which is visible when the vector changes position. When the value 1 is placed after having had the value 2, the old vectors will disappear from gradually when some action is executed._x000D__x000D_To see how it works, in a new ScienSolar sheet add a vector (by pressing the +Vector button) and enter the number 2 in cell C13=2. Press the rotate button &gt;&gt;C. Now change the initial positions of the vector and its coordinates and press &gt;&gt;C again. You will notice that a set of vectors appears in the coordinate system. Then enter C13=1 and press &gt;&gt;C to see the vectors gradually disappear. Press &gt;&gt;C again for their complete disappearance. If you want the vectors to disappear instantly, you must enter a value greater than 5000 in cell A8, for example A8=6000, and press any refresh button.</v>
      </c>
      <c r="AF239" t="str">
        <f>$AF$230</f>
        <v xml:space="preserve">Celda de HISTORIA del vector. Posibles valores 1 y 2.  Con el valor 2 el vector dejará huella de su recorrido en la hoja de cálculo, lo cual es visible cuando el vector cambia de posición. Cuando se coloca el valor 1 después de haber tenido el valor 2, los vectores antiguos irán desapareciendo de forma paulatina cuando se ejecuta alguna acción. _x000D__x000D_Para ver como trabaja, en una hoja nueva de ScienSolar agregue un vector (oprimiendo el botón +Vector) e ingrese el número 2 en la celda C13=2. Oprima el botón de rotación &gt;&gt;C. Ahora cambie las posiciones iniciales del vector y sus coordenadas y vuelva a oprimir &gt;&gt;C.  Observará que aparece en el sistema de coordenadas un abanico de vectores. Posteriormente ingrese  C13=1 y oprima &gt;&gt;C para ver desaparecer los vectores paulatinamente. Oprima de nuevo &gt;&gt;C para su total desaparición.  Si desea que los vectores desaparezcan instantáneamente, debe colocar en la celda A8 un valor mayor a 5000, por ejemplo A8=6000 y oprimir cualquier botón de actualización. </v>
      </c>
    </row>
    <row r="240" spans="27:32" x14ac:dyDescent="0.2">
      <c r="AA240" t="s">
        <v>80</v>
      </c>
      <c r="AB240" t="str">
        <f>HLOOKUP($Q$2,$AD$4:$AK$800,AD240)</f>
        <v>Vector thickness. The default value is 1. For thicker vectors enter a value greater than 1. Here, as in other configuration cells, dynamic formulas can be entered that change the appearance of the vectors depending on certain particular parameters for each project.</v>
      </c>
      <c r="AD240">
        <v>237</v>
      </c>
      <c r="AE240" t="str">
        <f>$AE$231</f>
        <v>Vector thickness. The default value is 1. For thicker vectors enter a value greater than 1. Here, as in other configuration cells, dynamic formulas can be entered that change the appearance of the vectors depending on certain particular parameters for each project.</v>
      </c>
      <c r="AF240" t="str">
        <f>$AF$231</f>
        <v xml:space="preserve">Grosor del vector. El valor predeterminado es 1. Para vectores más gruesos coloque un valor mayor que 1. Aquí, como en otras celdas de configuración, se pueden ingresar fórmulas dinámicas que cambian la apariencia de los vectores dependiendo de ciertos parámetros particulares para cada proyecto. </v>
      </c>
    </row>
    <row r="241" spans="27:32" x14ac:dyDescent="0.2">
      <c r="AA241" t="s">
        <v>83</v>
      </c>
      <c r="AB241" t="str">
        <f>HLOOKUP($Q$2,$AD$4:$AK$800,AD241)</f>
        <v xml:space="preserve">Color of the vector or shape that is loaded into the coordinate system. Change the background color of this cell with the respective Excel tool and will change the color of the vector (after pressing XYZ). This cell is free to use with data or formulas. To see how it works, in a new ScienSolar sheet press +Vector, then change the color of this cell and press XYZ. Change the shape code to 114 (instead of 183), press YZ, change the color and press YZ again. </v>
      </c>
      <c r="AD241">
        <v>238</v>
      </c>
      <c r="AE241" t="str">
        <f>$AE$223</f>
        <v xml:space="preserve">Color of the vector or shape that is loaded into the coordinate system. Change the background color of this cell with the respective Excel tool and will change the color of the vector (after pressing XYZ). This cell is free to use with data or formulas. To see how it works, in a new ScienSolar sheet press +Vector, then change the color of this cell and press XYZ. Change the shape code to 114 (instead of 183), press YZ, change the color and press YZ again. </v>
      </c>
      <c r="AF241" t="str">
        <f>$AF$223</f>
        <v>Color del vector o de la forma que se carga al sistema de coordenadas. Cambie el color de fondo de esta celda con la respectiva herramienta de Excel  y cambiará el color del vector (luego de oprimir XYZ). Esta celda está libre para utilizarla con datos o fórmulas. Para ver cómo funciona,  en una nueva hoja de ScienSolar oprima +Vector, luego cambie el color de esta celda y oprima XYZ. Cambie el código de la forma a 114 (en lugar de 183), oprima YZ, cambie el color y vuelva a oprimir YZ.</v>
      </c>
    </row>
    <row r="242" spans="27:32" x14ac:dyDescent="0.2">
      <c r="AA242" t="s">
        <v>86</v>
      </c>
      <c r="AB242" t="str">
        <f>HLOOKUP($Q$2,$AD$4:$AK$800,AD242)</f>
        <v>FIELD MODE. Possible values:_x000D_o --&gt; Cartesian Coordinates,_x000D_c --&gt; Cylindrical Coordinates,_x000D_s --&gt; Spherical Coordinates,_x000D_empty --&gt; Field Mode disabled._x000D__x000D_Once one of these values has been entered (in lower case and without the equal sign), pressing XYZ will display a string of values explained below. Only the values in brackets should be modified according to the units of the coordinates:_x000D__x000D_CARTESIAN COORDINATES:_x000D_o[5]x=[40;40] --&gt; Step and range in x,_x000D_o2[20]y=[-100;100] --&gt; Step and range in y,_x000D_o3[40]z=[0;100] --&gt; Step and range in z,_x000D__x000D_CYLINDRICAL COORDINATES:_x000D_c[5]rho=[40;40] --&gt; Step and range in rho,_x000D_c2[20]phi=[0;360] --&gt; Step and range in phi,_x000D_c3[40]z=[0;100] --&gt; Step and range in z,_x000D__x000D_SPHERICAL COORDINATES:_x000D_s[5]r=[40;40] --&gt; Step and range in r,_x000D_s2[20]phi=[180;270] --&gt; Step and range in phi,_x000D_s3[5]theta=[0;90] --&gt; Step and range in theta,_x000D__x000D_color=[80] --&gt; Approximate magnitude of the largest vector to distribute the color gradient in all vectors according to their magnitude,_x000D_[cart.]=[0;0;0] --&gt; Shift of the origin of coordinates with respect to the original,_x000D_tfactor=0.001386089s --&gt; Information on the time of placing a single vector on the sheet. No action required._x000D__x000D_PROPERTIES: This cell can only be used to clone the vectors in three-dimensional space. When it is empty, its function is inactive. The distribution of the vectors can be done in three ways: through Cartesian, cylindrical or spherical coordinates. Examples of application of this function can be seen in vector 5 of the ELECTRIC DIPOLE project and a more advanced form of its use in projectsELECTRIC DIPOLE, PLANE SYMMETRY, CYLINDRICAL SYMMETRY and SPHERICAL SYMMETRY.</v>
      </c>
      <c r="AD242">
        <v>239</v>
      </c>
      <c r="AE242" t="str">
        <f>$AE$224</f>
        <v>FIELD MODE. Possible values:_x000D_o --&gt; Cartesian Coordinates,_x000D_c --&gt; Cylindrical Coordinates,_x000D_s --&gt; Spherical Coordinates,_x000D_empty --&gt; Field Mode disabled._x000D__x000D_Once one of these values has been entered (in lower case and without the equal sign), pressing XYZ will display a string of values explained below. Only the values in brackets should be modified according to the units of the coordinates:_x000D__x000D_CARTESIAN COORDINATES:_x000D_o[5]x=[40;40] --&gt; Step and range in x,_x000D_o2[20]y=[-100;100] --&gt; Step and range in y,_x000D_o3[40]z=[0;100] --&gt; Step and range in z,_x000D__x000D_CYLINDRICAL COORDINATES:_x000D_c[5]rho=[40;40] --&gt; Step and range in rho,_x000D_c2[20]phi=[0;360] --&gt; Step and range in phi,_x000D_c3[40]z=[0;100] --&gt; Step and range in z,_x000D__x000D_SPHERICAL COORDINATES:_x000D_s[5]r=[40;40] --&gt; Step and range in r,_x000D_s2[20]phi=[180;270] --&gt; Step and range in phi,_x000D_s3[5]theta=[0;90] --&gt; Step and range in theta,_x000D__x000D_color=[80] --&gt; Approximate magnitude of the largest vector to distribute the color gradient in all vectors according to their magnitude,_x000D_[cart.]=[0;0;0] --&gt; Shift of the origin of coordinates with respect to the original,_x000D_tfactor=0.001386089s --&gt; Information on the time of placing a single vector on the sheet. No action required._x000D__x000D_PROPERTIES: This cell can only be used to clone the vectors in three-dimensional space. When it is empty, its function is inactive. The distribution of the vectors can be done in three ways: through Cartesian, cylindrical or spherical coordinates. Examples of application of this function can be seen in vector 5 of the ELECTRIC DIPOLE project and a more advanced form of its use in projectsELECTRIC DIPOLE, PLANE SYMMETRY, CYLINDRICAL SYMMETRY and SPHERICAL SYMMETRY.</v>
      </c>
      <c r="AF242" t="str">
        <f>$AF$224</f>
        <v>MODO CAMPO. Posibles valores:_x000D_o --&gt; coordenadas cartesianas,_x000D_c --&gt; coordenadas cilíndricas,_x000D_s --&gt; coordenadas esféricas,_x000D_vacía --&gt; modo campo deshabilitado._x000D__x000D_Una vez ingresado uno de estos valores (en minúscula y sin el signo igual), oprimiendo XYZ aparecerá una cadena de valores que se explica a continuación. Se deben modificar únicamente los valores entre corchetes de acuerdo a las unidades de las coordenadas:_x000D__x000D_COORDENADAS CARTESIANAS:_x000D_o[5]x=[40;40] --&gt; paso y rango en x,_x000D_o2[20]y=[-100;100] --&gt; paso y rango en y,_x000D_o3[40]z=[0;100] --&gt; paso y rango en z,_x000D__x000D_COORDENADAS CILÍNDRICAS:_x000D_c[5]rho=[40;40] --&gt; paso y rango en rho,_x000D_c2[20]phi=[0;360] --&gt; paso y rango en phi,_x000D_c3[40]z=[0;100] --&gt; paso y rango en z,_x000D__x000D_COORDENADAS ESFÉRICAS:_x000D_s[5]r=[40;40] --&gt; paso y rango en r,_x000D_s2[20]phi=[180;270] --&gt; paso y rango en phi,_x000D_s3[5]theta=[0;90] --&gt; paso y rango en theta,_x000D__x000D_color=[80] --&gt; magnitud aproximada del mayor vector para distribuir el gradiente de color en todos los vectores de acuerdo a su magnitud,_x000D_[cart.]=[0;0;0] --&gt; corrimiento del origen de coordenadas con respecto al original,_x000D_tfactor=0,001386089s --&gt; información del tiempo de puesta de un solo vector en la hoja. No requiere ninguna acción._x000D__x000D_PROPIEDADES: Esta celda sólo puede ser usada para clonar los vectores en el espacio tridimensional. Cuando está vacía, su función se inactiva. La distribución de los vectores se puede hacer de tres maneras: a través de coordenadas cartesianas, cilíndricas o esféricas. Ejemplos de aplicación de esta función se pueden ver en en el vector 5 del proyecto DIPOLO ELÉCTRICO y una forma más avanzada de su uso en los proyectos DIPOLO ELÉCTRICO, SIMETRÍA PLANA, SIMETRÍA CILÍNDRICA y SIMETRÍA ESFÉRICA.</v>
      </c>
    </row>
    <row r="243" spans="27:32" x14ac:dyDescent="0.2">
      <c r="AA243" t="s">
        <v>89</v>
      </c>
      <c r="AB243" t="str">
        <f>HLOOKUP($Q$2,$AD$4:$AK$800,AD243)</f>
        <v>Transparency of the current vector. Positive decimal values are accepted from 0 to 1, where with the value 0 it has no transparency and with the value 1 its transparency is total. This function is useful for example for auxiliary vectors that are not directly part of the problem.</v>
      </c>
      <c r="AD243">
        <v>240</v>
      </c>
      <c r="AE243" t="str">
        <f>$AE$225</f>
        <v>Transparency of the current vector. Positive decimal values are accepted from 0 to 1, where with the value 0 it has no transparency and with the value 1 its transparency is total. This function is useful for example for auxiliary vectors that are not directly part of the problem.</v>
      </c>
      <c r="AF243" t="str">
        <f>$AF$225</f>
        <v xml:space="preserve">Transparencia del vector en curso. Se aceptan valores positivos decimales desde 0 hasta 1, en donde con el valor 0 no tiene transparencia y con el valor 1 su transparencia es total. Esta función es útil por ejemplo para vectores auxiliares que no hacen parte del problema directamente.  </v>
      </c>
    </row>
    <row r="244" spans="27:32" x14ac:dyDescent="0.2">
      <c r="AA244" t="s">
        <v>92</v>
      </c>
      <c r="AB244" t="str">
        <f>HLOOKUP($Q$2,$AD$4:$AK$800,AD244)</f>
        <v>Free cell for form 183. For form -114, the indicator position column is entered here (the row is entered in the adjacent cell on the left.) _x000D__x000D_To see how it works, open a new ScienSolar sheet, press +Vector to add a new vector and place (with minus sign) B7=-114, B9=6,C9= 3 for the purpose of targeting the color cell.Press YZ to see the result. Change the values B9=8,C9=5 to point to the cell in row 8, column 5. Set B10=3 to C10=3 to change the position of the square.Set B12=8, C12=3 to resize. Press YZ to see the result. Press &gt;&gt;C to rotate the coordinate system. Remove the minus sign at B7, B7=114. Press &gt;&gt;C again to see the difference.</v>
      </c>
      <c r="AD244">
        <v>241</v>
      </c>
      <c r="AE244" t="str">
        <f>$AE$226</f>
        <v>Free cell for form 183. For form -114, the indicator position column is entered here (the row is entered in the adjacent cell on the left.) _x000D__x000D_To see how it works, open a new ScienSolar sheet, press +Vector to add a new vector and place (with minus sign) B7=-114, B9=6,C9= 3 for the purpose of targeting the color cell.Press YZ to see the result. Change the values B9=8,C9=5 to point to the cell in row 8, column 5. Set B10=3 to C10=3 to change the position of the square.Set B12=8, C12=3 to resize. Press YZ to see the result. Press &gt;&gt;C to rotate the coordinate system. Remove the minus sign at B7, B7=114. Press &gt;&gt;C again to see the difference.</v>
      </c>
      <c r="AF244" t="str">
        <f>$AF$226</f>
        <v>Celda libre para la forma 183. Para la forma -114 se introduce aquí la columna de posición del indicador (la fila se introduce en la celda contigua de la izquierda.) _x000D__x000D_Para ver cómo funciona, abra una nueva hoja de ScienSolar, oprima +Vector para agregar un nuevo vector y coloque (con signo menos) B7=-114, B9=6,C9=3 con el propósito de apuntar a la celda del color. Oprima YZ para ver el resultado. Cambie los valores B9=8,C9=5 para apuntar a la celda que se encuentra en la fila 8, columna 5. Coloque B10=3 C10=3 para cambiar la posición del cuadrado. Coloque B12=8, C12=3 para cambiar su tamaño. Oprima YZ para ver el resultado. Oprima &gt;&gt;C para rotar el sistema de coordenadas. Quite el signo menos en B7, B7=114. Oprima de nuevo &gt;&gt;C para ver la diferencia.</v>
      </c>
    </row>
    <row r="245" spans="27:32" x14ac:dyDescent="0.2">
      <c r="AA245" t="s">
        <v>95</v>
      </c>
      <c r="AB245" t="str">
        <f>HLOOKUP($Q$2,$AD$4:$AK$800,AD245)</f>
        <v>This cell indicates the initial position on the Z axis of the current vector. When working in FIELD mode, the code automatically deletes the data in this cell and replaces it with =C11, since in C11 will traverse (in field mode) all the initial values of the Z coordinates of the given field vectors for a range in the Z coordinate. In this cell the user can enter constant values as well as functions._x000D__x000D_ To see how it works, in a new ScienSolar sheet add a new vector and set A12 = 4, B12 = 3, C12 = 0. Press the XYZ button. Enter other values and observe the changes in the coordinate system.</v>
      </c>
      <c r="AD245">
        <v>242</v>
      </c>
      <c r="AE245" t="str">
        <f>$AE$227</f>
        <v>This cell indicates the initial position on the Z axis of the current vector. When working in FIELD mode, the code automatically deletes the data in this cell and replaces it with =C11, since in C11 will traverse (in field mode) all the initial values of the Z coordinates of the given field vectors for a range in the Z coordinate. In this cell the user can enter constant values as well as functions._x000D__x000D_ To see how it works, in a new ScienSolar sheet add a new vector and set A12 = 4, B12 = 3, C12 = 0. Press the XYZ button. Enter other values and observe the changes in the coordinate system.</v>
      </c>
      <c r="AF245" t="str">
        <f>$AF$227</f>
        <v xml:space="preserve">Esta celda indica la posición inicial en el eje Z del vector actual. Cuando se trabaja en modo CAMPO, el código automáticamente borra los datos de esta celda y los reemplaza por =C11, puesto que en C11 se recorrerán (en modo campo) todos los valores iniciales de las coordenadas en Z de los vectores del campo dados para un rango en la coordenada Z. En esta celda el usuario puede introducir valores constantes así como funciones._x000D__x000D_ Para ver como funciona, en una nueva hoja de ScienSolar agregue un nuevo vector y en A12 = 4, B12= 3, C12 = 0. Oprima XYZ. Ponga otros valores y observe los cambios en el sistema de coordenadas. </v>
      </c>
    </row>
    <row r="246" spans="27:32" x14ac:dyDescent="0.2">
      <c r="AA246" t="s">
        <v>98</v>
      </c>
      <c r="AB246" t="str">
        <f>HLOOKUP($Q$2,$AD$4:$AK$800,AD246)</f>
        <v>This cell is used by the code when working in FIELD MODE to cycle through all the coordinate values as variables. In other words, this cell is equivalent to the variable z when working with a function f(z). As an example of using this cell, see the ELECTRICAL DIPOLE, CYLINDRICAL SYMMETRY and SPHERICAL SYMMETRY projects. For scalar fields, see the FUNCTIONS project.</v>
      </c>
      <c r="AD246">
        <v>243</v>
      </c>
      <c r="AE246" t="str">
        <f>$AE$228</f>
        <v>This cell is used by the code when working in FIELD MODE to cycle through all the coordinate values as variables. In other words, this cell is equivalent to the variable z when working with a function f(z). As an example of using this cell, see the ELECTRICAL DIPOLE, CYLINDRICAL SYMMETRY and SPHERICAL SYMMETRY projects. For scalar fields, see the FUNCTIONS project.</v>
      </c>
      <c r="AF246" t="str">
        <f>$AF$228</f>
        <v>Esta celda es usada por el código cuando se trabaja en MODO CAMPO para recorrer todos los valores de las coordenadas como variables. Dicho de otra manera, esta celda equivale a la variable z cuando se trabaja con una función f(z). Como ejemplo de uso de esta celda ver los proyectos DIPOLO ELÉCTRICO, SIMETRÍA CILÍNDRICA y SIMETRÍA ESFÉRICA. Para campos escalares ver el proyecto FUNCIONES.</v>
      </c>
    </row>
    <row r="247" spans="27:32" x14ac:dyDescent="0.2">
      <c r="AA247" t="s">
        <v>101</v>
      </c>
      <c r="AB247" t="str">
        <f>HLOOKUP($Q$2,$AD$4:$AK$800,AD247)</f>
        <v>In this cell the value of the coordinate on the Z axis of the vector is entered. When working in FIELD MODE, the function corresponding to the Z axis of the vector field is entered here. As an example of use of this cell see the ELECTRICAL DIPOLE, CYLINDRICAL SYMMETRY and SPHERICAL SYMMETRY projects. For scalar fields see the FUNCTIONS project.</v>
      </c>
      <c r="AD247">
        <v>244</v>
      </c>
      <c r="AE247" t="str">
        <f>$AE$229</f>
        <v>In this cell the value of the coordinate on the Z axis of the vector is entered. When working in FIELD MODE, the function corresponding to the Z axis of the vector field is entered here. As an example of use of this cell see the ELECTRICAL DIPOLE, CYLINDRICAL SYMMETRY and SPHERICAL SYMMETRY projects. For scalar fields see the FUNCTIONS project.</v>
      </c>
      <c r="AF247" t="str">
        <f>$AF$229</f>
        <v>En esta celda se introduce el valor de la coordenada en el eje Z del vector. Cuando se trabaja en MODO CAMPO, se introduce aquí la función correspondiente al eje Z del campo vectorial. Como ejemplo de uso de esta celda ver los proyectos  DIPOLO ELÉCTRICO, SIMETRÍA CILÍNDRICA y SIMETRÍA ESFÉRICA. Para campos escalares ver el proyecto FUNCIONES.</v>
      </c>
    </row>
    <row r="248" spans="27:32" x14ac:dyDescent="0.2">
      <c r="AA248" t="s">
        <v>104</v>
      </c>
      <c r="AB248" t="str">
        <f>HLOOKUP($Q$2,$AD$4:$AK$800,AD248)</f>
        <v>Vector HISTORY cell. Possible values 1 and 2. With the value 2 the vector will leave a trace of its path in the spreadsheet, which is visible when the vector changes position. When the value 1 is placed after having had the value 2, the old vectors will disappear from gradually when some action is executed._x000D__x000D_To see how it works, in a new ScienSolar sheet add a vector (by pressing the +Vector button) and enter the number 2 in cell C13=2. Press the rotate button &gt;&gt;C. Now change the initial positions of the vector and its coordinates and press &gt;&gt;C again. You will notice that a set of vectors appears in the coordinate system. Then enter C13=1 and press &gt;&gt;C to see the vectors gradually disappear. Press &gt;&gt;C again for their complete disappearance. If you want the vectors to disappear instantly, you must enter a value greater than 5000 in cell A8, for example A8=6000, and press any refresh button.</v>
      </c>
      <c r="AD248">
        <v>245</v>
      </c>
      <c r="AE248" t="str">
        <f>$AE$230</f>
        <v>Vector HISTORY cell. Possible values 1 and 2. With the value 2 the vector will leave a trace of its path in the spreadsheet, which is visible when the vector changes position. When the value 1 is placed after having had the value 2, the old vectors will disappear from gradually when some action is executed._x000D__x000D_To see how it works, in a new ScienSolar sheet add a vector (by pressing the +Vector button) and enter the number 2 in cell C13=2. Press the rotate button &gt;&gt;C. Now change the initial positions of the vector and its coordinates and press &gt;&gt;C again. You will notice that a set of vectors appears in the coordinate system. Then enter C13=1 and press &gt;&gt;C to see the vectors gradually disappear. Press &gt;&gt;C again for their complete disappearance. If you want the vectors to disappear instantly, you must enter a value greater than 5000 in cell A8, for example A8=6000, and press any refresh button.</v>
      </c>
      <c r="AF248" t="str">
        <f>$AF$230</f>
        <v xml:space="preserve">Celda de HISTORIA del vector. Posibles valores 1 y 2.  Con el valor 2 el vector dejará huella de su recorrido en la hoja de cálculo, lo cual es visible cuando el vector cambia de posición. Cuando se coloca el valor 1 después de haber tenido el valor 2, los vectores antiguos irán desapareciendo de forma paulatina cuando se ejecuta alguna acción. _x000D__x000D_Para ver como trabaja, en una hoja nueva de ScienSolar agregue un vector (oprimiendo el botón +Vector) e ingrese el número 2 en la celda C13=2. Oprima el botón de rotación &gt;&gt;C. Ahora cambie las posiciones iniciales del vector y sus coordenadas y vuelva a oprimir &gt;&gt;C.  Observará que aparece en el sistema de coordenadas un abanico de vectores. Posteriormente ingrese  C13=1 y oprima &gt;&gt;C para ver desaparecer los vectores paulatinamente. Oprima de nuevo &gt;&gt;C para su total desaparición.  Si desea que los vectores desaparezcan instantáneamente, debe colocar en la celda A8 un valor mayor a 5000, por ejemplo A8=6000 y oprimir cualquier botón de actualización. </v>
      </c>
    </row>
    <row r="249" spans="27:32" x14ac:dyDescent="0.2">
      <c r="AA249" t="s">
        <v>107</v>
      </c>
      <c r="AB249" t="str">
        <f>HLOOKUP($Q$2,$AD$4:$AK$800,AD249)</f>
        <v>Vector thickness. The default value is 1. For thicker vectors enter a value greater than 1. Here, as in other configuration cells, dynamic formulas can be entered that change the appearance of the vectors depending on certain particular parameters for each project.</v>
      </c>
      <c r="AD249">
        <v>246</v>
      </c>
      <c r="AE249" t="str">
        <f>$AE$231</f>
        <v>Vector thickness. The default value is 1. For thicker vectors enter a value greater than 1. Here, as in other configuration cells, dynamic formulas can be entered that change the appearance of the vectors depending on certain particular parameters for each project.</v>
      </c>
      <c r="AF249" t="str">
        <f>$AF$231</f>
        <v xml:space="preserve">Grosor del vector. El valor predeterminado es 1. Para vectores más gruesos coloque un valor mayor que 1. Aquí, como en otras celdas de configuración, se pueden ingresar fórmulas dinámicas que cambian la apariencia de los vectores dependiendo de ciertos parámetros particulares para cada proyecto. </v>
      </c>
    </row>
    <row r="250" spans="27:32" x14ac:dyDescent="0.2">
      <c r="AA250" t="s">
        <v>110</v>
      </c>
      <c r="AB250" t="str">
        <f>HLOOKUP($Q$2,$AD$4:$AK$800,AD250)</f>
        <v xml:space="preserve">Color of the vector or shape that is loaded into the coordinate system. Change the background color of this cell with the respective Excel tool and will change the color of the vector (after pressing XYZ). This cell is free to use with data or formulas. To see how it works, in a new ScienSolar sheet press +Vector, then change the color of this cell and press XYZ. Change the shape code to 114 (instead of 183), press YZ, change the color and press YZ again. </v>
      </c>
      <c r="AD250">
        <v>247</v>
      </c>
      <c r="AE250" t="str">
        <f>$AE$223</f>
        <v xml:space="preserve">Color of the vector or shape that is loaded into the coordinate system. Change the background color of this cell with the respective Excel tool and will change the color of the vector (after pressing XYZ). This cell is free to use with data or formulas. To see how it works, in a new ScienSolar sheet press +Vector, then change the color of this cell and press XYZ. Change the shape code to 114 (instead of 183), press YZ, change the color and press YZ again. </v>
      </c>
      <c r="AF250" t="str">
        <f>$AF$223</f>
        <v>Color del vector o de la forma que se carga al sistema de coordenadas. Cambie el color de fondo de esta celda con la respectiva herramienta de Excel  y cambiará el color del vector (luego de oprimir XYZ). Esta celda está libre para utilizarla con datos o fórmulas. Para ver cómo funciona,  en una nueva hoja de ScienSolar oprima +Vector, luego cambie el color de esta celda y oprima XYZ. Cambie el código de la forma a 114 (en lugar de 183), oprima YZ, cambie el color y vuelva a oprimir YZ.</v>
      </c>
    </row>
    <row r="251" spans="27:32" x14ac:dyDescent="0.2">
      <c r="AA251" t="s">
        <v>113</v>
      </c>
      <c r="AB251" t="str">
        <f>HLOOKUP($Q$2,$AD$4:$AK$800,AD251)</f>
        <v>FIELD MODE. Possible values:_x000D_o --&gt; Cartesian Coordinates,_x000D_c --&gt; Cylindrical Coordinates,_x000D_s --&gt; Spherical Coordinates,_x000D_empty --&gt; Field Mode disabled._x000D__x000D_Once one of these values has been entered (in lower case and without the equal sign), pressing XYZ will display a string of values explained below. Only the values in brackets should be modified according to the units of the coordinates:_x000D__x000D_CARTESIAN COORDINATES:_x000D_o[5]x=[40;40] --&gt; Step and range in x,_x000D_o2[20]y=[-100;100] --&gt; Step and range in y,_x000D_o3[40]z=[0;100] --&gt; Step and range in z,_x000D__x000D_CYLINDRICAL COORDINATES:_x000D_c[5]rho=[40;40] --&gt; Step and range in rho,_x000D_c2[20]phi=[0;360] --&gt; Step and range in phi,_x000D_c3[40]z=[0;100] --&gt; Step and range in z,_x000D__x000D_SPHERICAL COORDINATES:_x000D_s[5]r=[40;40] --&gt; Step and range in r,_x000D_s2[20]phi=[180;270] --&gt; Step and range in phi,_x000D_s3[5]theta=[0;90] --&gt; Step and range in theta,_x000D__x000D_color=[80] --&gt; Approximate magnitude of the largest vector to distribute the color gradient in all vectors according to their magnitude,_x000D_[cart.]=[0;0;0] --&gt; Shift of the origin of coordinates with respect to the original,_x000D_tfactor=0.001386089s --&gt; Information on the time of placing a single vector on the sheet. No action required._x000D__x000D_PROPERTIES: This cell can only be used to clone the vectors in three-dimensional space. When it is empty, its function is inactive. The distribution of the vectors can be done in three ways: through Cartesian, cylindrical or spherical coordinates. Examples of application of this function can be seen in vector 5 of the ELECTRIC DIPOLE project and a more advanced form of its use in projectsELECTRIC DIPOLE, PLANE SYMMETRY, CYLINDRICAL SYMMETRY and SPHERICAL SYMMETRY.</v>
      </c>
      <c r="AD251">
        <v>248</v>
      </c>
      <c r="AE251" t="str">
        <f>$AE$224</f>
        <v>FIELD MODE. Possible values:_x000D_o --&gt; Cartesian Coordinates,_x000D_c --&gt; Cylindrical Coordinates,_x000D_s --&gt; Spherical Coordinates,_x000D_empty --&gt; Field Mode disabled._x000D__x000D_Once one of these values has been entered (in lower case and without the equal sign), pressing XYZ will display a string of values explained below. Only the values in brackets should be modified according to the units of the coordinates:_x000D__x000D_CARTESIAN COORDINATES:_x000D_o[5]x=[40;40] --&gt; Step and range in x,_x000D_o2[20]y=[-100;100] --&gt; Step and range in y,_x000D_o3[40]z=[0;100] --&gt; Step and range in z,_x000D__x000D_CYLINDRICAL COORDINATES:_x000D_c[5]rho=[40;40] --&gt; Step and range in rho,_x000D_c2[20]phi=[0;360] --&gt; Step and range in phi,_x000D_c3[40]z=[0;100] --&gt; Step and range in z,_x000D__x000D_SPHERICAL COORDINATES:_x000D_s[5]r=[40;40] --&gt; Step and range in r,_x000D_s2[20]phi=[180;270] --&gt; Step and range in phi,_x000D_s3[5]theta=[0;90] --&gt; Step and range in theta,_x000D__x000D_color=[80] --&gt; Approximate magnitude of the largest vector to distribute the color gradient in all vectors according to their magnitude,_x000D_[cart.]=[0;0;0] --&gt; Shift of the origin of coordinates with respect to the original,_x000D_tfactor=0.001386089s --&gt; Information on the time of placing a single vector on the sheet. No action required._x000D__x000D_PROPERTIES: This cell can only be used to clone the vectors in three-dimensional space. When it is empty, its function is inactive. The distribution of the vectors can be done in three ways: through Cartesian, cylindrical or spherical coordinates. Examples of application of this function can be seen in vector 5 of the ELECTRIC DIPOLE project and a more advanced form of its use in projectsELECTRIC DIPOLE, PLANE SYMMETRY, CYLINDRICAL SYMMETRY and SPHERICAL SYMMETRY.</v>
      </c>
      <c r="AF251" t="str">
        <f>$AF$224</f>
        <v>MODO CAMPO. Posibles valores:_x000D_o --&gt; coordenadas cartesianas,_x000D_c --&gt; coordenadas cilíndricas,_x000D_s --&gt; coordenadas esféricas,_x000D_vacía --&gt; modo campo deshabilitado._x000D__x000D_Una vez ingresado uno de estos valores (en minúscula y sin el signo igual), oprimiendo XYZ aparecerá una cadena de valores que se explica a continuación. Se deben modificar únicamente los valores entre corchetes de acuerdo a las unidades de las coordenadas:_x000D__x000D_COORDENADAS CARTESIANAS:_x000D_o[5]x=[40;40] --&gt; paso y rango en x,_x000D_o2[20]y=[-100;100] --&gt; paso y rango en y,_x000D_o3[40]z=[0;100] --&gt; paso y rango en z,_x000D__x000D_COORDENADAS CILÍNDRICAS:_x000D_c[5]rho=[40;40] --&gt; paso y rango en rho,_x000D_c2[20]phi=[0;360] --&gt; paso y rango en phi,_x000D_c3[40]z=[0;100] --&gt; paso y rango en z,_x000D__x000D_COORDENADAS ESFÉRICAS:_x000D_s[5]r=[40;40] --&gt; paso y rango en r,_x000D_s2[20]phi=[180;270] --&gt; paso y rango en phi,_x000D_s3[5]theta=[0;90] --&gt; paso y rango en theta,_x000D__x000D_color=[80] --&gt; magnitud aproximada del mayor vector para distribuir el gradiente de color en todos los vectores de acuerdo a su magnitud,_x000D_[cart.]=[0;0;0] --&gt; corrimiento del origen de coordenadas con respecto al original,_x000D_tfactor=0,001386089s --&gt; información del tiempo de puesta de un solo vector en la hoja. No requiere ninguna acción._x000D__x000D_PROPIEDADES: Esta celda sólo puede ser usada para clonar los vectores en el espacio tridimensional. Cuando está vacía, su función se inactiva. La distribución de los vectores se puede hacer de tres maneras: a través de coordenadas cartesianas, cilíndricas o esféricas. Ejemplos de aplicación de esta función se pueden ver en en el vector 5 del proyecto DIPOLO ELÉCTRICO y una forma más avanzada de su uso en los proyectos DIPOLO ELÉCTRICO, SIMETRÍA PLANA, SIMETRÍA CILÍNDRICA y SIMETRÍA ESFÉRICA.</v>
      </c>
    </row>
    <row r="252" spans="27:32" x14ac:dyDescent="0.2">
      <c r="AA252" t="s">
        <v>116</v>
      </c>
      <c r="AB252" t="str">
        <f>HLOOKUP($Q$2,$AD$4:$AK$800,AD252)</f>
        <v>Transparency of the current vector. Positive decimal values are accepted from 0 to 1, where with the value 0 it has no transparency and with the value 1 its transparency is total. This function is useful for example for auxiliary vectors that are not directly part of the problem.</v>
      </c>
      <c r="AD252">
        <v>249</v>
      </c>
      <c r="AE252" t="str">
        <f>$AE$225</f>
        <v>Transparency of the current vector. Positive decimal values are accepted from 0 to 1, where with the value 0 it has no transparency and with the value 1 its transparency is total. This function is useful for example for auxiliary vectors that are not directly part of the problem.</v>
      </c>
      <c r="AF252" t="str">
        <f>$AF$225</f>
        <v xml:space="preserve">Transparencia del vector en curso. Se aceptan valores positivos decimales desde 0 hasta 1, en donde con el valor 0 no tiene transparencia y con el valor 1 su transparencia es total. Esta función es útil por ejemplo para vectores auxiliares que no hacen parte del problema directamente.  </v>
      </c>
    </row>
    <row r="253" spans="27:32" x14ac:dyDescent="0.2">
      <c r="AA253" t="s">
        <v>119</v>
      </c>
      <c r="AB253" t="str">
        <f>HLOOKUP($Q$2,$AD$4:$AK$800,AD253)</f>
        <v>Free cell for form 183. For form -114, the indicator position column is entered here (the row is entered in the adjacent cell on the left.) _x000D__x000D_To see how it works, open a new ScienSolar sheet, press +Vector to add a new vector and place (with minus sign) B7=-114, B9=6,C9= 3 for the purpose of targeting the color cell.Press YZ to see the result. Change the values B9=8,C9=5 to point to the cell in row 8, column 5. Set B10=3 to C10=3 to change the position of the square.Set B12=8, C12=3 to resize. Press YZ to see the result. Press &gt;&gt;C to rotate the coordinate system. Remove the minus sign at B7, B7=114. Press &gt;&gt;C again to see the difference.</v>
      </c>
      <c r="AD253">
        <v>250</v>
      </c>
      <c r="AE253" t="str">
        <f>$AE$226</f>
        <v>Free cell for form 183. For form -114, the indicator position column is entered here (the row is entered in the adjacent cell on the left.) _x000D__x000D_To see how it works, open a new ScienSolar sheet, press +Vector to add a new vector and place (with minus sign) B7=-114, B9=6,C9= 3 for the purpose of targeting the color cell.Press YZ to see the result. Change the values B9=8,C9=5 to point to the cell in row 8, column 5. Set B10=3 to C10=3 to change the position of the square.Set B12=8, C12=3 to resize. Press YZ to see the result. Press &gt;&gt;C to rotate the coordinate system. Remove the minus sign at B7, B7=114. Press &gt;&gt;C again to see the difference.</v>
      </c>
      <c r="AF253" t="str">
        <f>$AF$226</f>
        <v>Celda libre para la forma 183. Para la forma -114 se introduce aquí la columna de posición del indicador (la fila se introduce en la celda contigua de la izquierda.) _x000D__x000D_Para ver cómo funciona, abra una nueva hoja de ScienSolar, oprima +Vector para agregar un nuevo vector y coloque (con signo menos) B7=-114, B9=6,C9=3 con el propósito de apuntar a la celda del color. Oprima YZ para ver el resultado. Cambie los valores B9=8,C9=5 para apuntar a la celda que se encuentra en la fila 8, columna 5. Coloque B10=3 C10=3 para cambiar la posición del cuadrado. Coloque B12=8, C12=3 para cambiar su tamaño. Oprima YZ para ver el resultado. Oprima &gt;&gt;C para rotar el sistema de coordenadas. Quite el signo menos en B7, B7=114. Oprima de nuevo &gt;&gt;C para ver la diferencia.</v>
      </c>
    </row>
    <row r="254" spans="27:32" x14ac:dyDescent="0.2">
      <c r="AA254" t="s">
        <v>122</v>
      </c>
      <c r="AB254" t="str">
        <f>HLOOKUP($Q$2,$AD$4:$AK$800,AD254)</f>
        <v>This cell indicates the initial position on the Z axis of the current vector. When working in FIELD mode, the code automatically deletes the data in this cell and replaces it with =C11, since in C11 will traverse (in field mode) all the initial values of the Z coordinates of the given field vectors for a range in the Z coordinate. In this cell the user can enter constant values as well as functions._x000D__x000D_ To see how it works, in a new ScienSolar sheet add a new vector and set A12 = 4, B12 = 3, C12 = 0. Press the XYZ button. Enter other values and observe the changes in the coordinate system.</v>
      </c>
      <c r="AD254">
        <v>251</v>
      </c>
      <c r="AE254" t="str">
        <f>$AE$227</f>
        <v>This cell indicates the initial position on the Z axis of the current vector. When working in FIELD mode, the code automatically deletes the data in this cell and replaces it with =C11, since in C11 will traverse (in field mode) all the initial values of the Z coordinates of the given field vectors for a range in the Z coordinate. In this cell the user can enter constant values as well as functions._x000D__x000D_ To see how it works, in a new ScienSolar sheet add a new vector and set A12 = 4, B12 = 3, C12 = 0. Press the XYZ button. Enter other values and observe the changes in the coordinate system.</v>
      </c>
      <c r="AF254" t="str">
        <f>$AF$227</f>
        <v xml:space="preserve">Esta celda indica la posición inicial en el eje Z del vector actual. Cuando se trabaja en modo CAMPO, el código automáticamente borra los datos de esta celda y los reemplaza por =C11, puesto que en C11 se recorrerán (en modo campo) todos los valores iniciales de las coordenadas en Z de los vectores del campo dados para un rango en la coordenada Z. En esta celda el usuario puede introducir valores constantes así como funciones._x000D__x000D_ Para ver como funciona, en una nueva hoja de ScienSolar agregue un nuevo vector y en A12 = 4, B12= 3, C12 = 0. Oprima XYZ. Ponga otros valores y observe los cambios en el sistema de coordenadas. </v>
      </c>
    </row>
    <row r="255" spans="27:32" x14ac:dyDescent="0.2">
      <c r="AA255" t="s">
        <v>125</v>
      </c>
      <c r="AB255" t="str">
        <f>HLOOKUP($Q$2,$AD$4:$AK$800,AD255)</f>
        <v>This cell is used by the code when working in FIELD MODE to cycle through all the coordinate values as variables. In other words, this cell is equivalent to the variable z when working with a function f(z). As an example of using this cell, see the ELECTRICAL DIPOLE, CYLINDRICAL SYMMETRY and SPHERICAL SYMMETRY projects. For scalar fields, see the FUNCTIONS project.</v>
      </c>
      <c r="AD255">
        <v>252</v>
      </c>
      <c r="AE255" t="str">
        <f>$AE$228</f>
        <v>This cell is used by the code when working in FIELD MODE to cycle through all the coordinate values as variables. In other words, this cell is equivalent to the variable z when working with a function f(z). As an example of using this cell, see the ELECTRICAL DIPOLE, CYLINDRICAL SYMMETRY and SPHERICAL SYMMETRY projects. For scalar fields, see the FUNCTIONS project.</v>
      </c>
      <c r="AF255" t="str">
        <f>$AF$228</f>
        <v>Esta celda es usada por el código cuando se trabaja en MODO CAMPO para recorrer todos los valores de las coordenadas como variables. Dicho de otra manera, esta celda equivale a la variable z cuando se trabaja con una función f(z). Como ejemplo de uso de esta celda ver los proyectos DIPOLO ELÉCTRICO, SIMETRÍA CILÍNDRICA y SIMETRÍA ESFÉRICA. Para campos escalares ver el proyecto FUNCIONES.</v>
      </c>
    </row>
    <row r="256" spans="27:32" x14ac:dyDescent="0.2">
      <c r="AA256" t="s">
        <v>128</v>
      </c>
      <c r="AB256" t="str">
        <f>HLOOKUP($Q$2,$AD$4:$AK$800,AD256)</f>
        <v>In this cell the value of the coordinate on the Z axis of the vector is entered. When working in FIELD MODE, the function corresponding to the Z axis of the vector field is entered here. As an example of use of this cell see the ELECTRICAL DIPOLE, CYLINDRICAL SYMMETRY and SPHERICAL SYMMETRY projects. For scalar fields see the FUNCTIONS project.</v>
      </c>
      <c r="AD256">
        <v>253</v>
      </c>
      <c r="AE256" t="str">
        <f>$AE$229</f>
        <v>In this cell the value of the coordinate on the Z axis of the vector is entered. When working in FIELD MODE, the function corresponding to the Z axis of the vector field is entered here. As an example of use of this cell see the ELECTRICAL DIPOLE, CYLINDRICAL SYMMETRY and SPHERICAL SYMMETRY projects. For scalar fields see the FUNCTIONS project.</v>
      </c>
      <c r="AF256" t="str">
        <f>$AF$229</f>
        <v>En esta celda se introduce el valor de la coordenada en el eje Z del vector. Cuando se trabaja en MODO CAMPO, se introduce aquí la función correspondiente al eje Z del campo vectorial. Como ejemplo de uso de esta celda ver los proyectos  DIPOLO ELÉCTRICO, SIMETRÍA CILÍNDRICA y SIMETRÍA ESFÉRICA. Para campos escalares ver el proyecto FUNCIONES.</v>
      </c>
    </row>
    <row r="257" spans="27:32" x14ac:dyDescent="0.2">
      <c r="AA257" t="s">
        <v>131</v>
      </c>
      <c r="AB257" t="str">
        <f>HLOOKUP($Q$2,$AD$4:$AK$800,AD257)</f>
        <v>Vector HISTORY cell. Possible values 1 and 2. With the value 2 the vector will leave a trace of its path in the spreadsheet, which is visible when the vector changes position. When the value 1 is placed after having had the value 2, the old vectors will disappear from gradually when some action is executed._x000D__x000D_To see how it works, in a new ScienSolar sheet add a vector (by pressing the +Vector button) and enter the number 2 in cell C13=2. Press the rotate button &gt;&gt;C. Now change the initial positions of the vector and its coordinates and press &gt;&gt;C again. You will notice that a set of vectors appears in the coordinate system. Then enter C13=1 and press &gt;&gt;C to see the vectors gradually disappear. Press &gt;&gt;C again for their complete disappearance. If you want the vectors to disappear instantly, you must enter a value greater than 5000 in cell A8, for example A8=6000, and press any refresh button.</v>
      </c>
      <c r="AD257">
        <v>254</v>
      </c>
      <c r="AE257" t="str">
        <f>$AE$230</f>
        <v>Vector HISTORY cell. Possible values 1 and 2. With the value 2 the vector will leave a trace of its path in the spreadsheet, which is visible when the vector changes position. When the value 1 is placed after having had the value 2, the old vectors will disappear from gradually when some action is executed._x000D__x000D_To see how it works, in a new ScienSolar sheet add a vector (by pressing the +Vector button) and enter the number 2 in cell C13=2. Press the rotate button &gt;&gt;C. Now change the initial positions of the vector and its coordinates and press &gt;&gt;C again. You will notice that a set of vectors appears in the coordinate system. Then enter C13=1 and press &gt;&gt;C to see the vectors gradually disappear. Press &gt;&gt;C again for their complete disappearance. If you want the vectors to disappear instantly, you must enter a value greater than 5000 in cell A8, for example A8=6000, and press any refresh button.</v>
      </c>
      <c r="AF257" t="str">
        <f>$AF$230</f>
        <v xml:space="preserve">Celda de HISTORIA del vector. Posibles valores 1 y 2.  Con el valor 2 el vector dejará huella de su recorrido en la hoja de cálculo, lo cual es visible cuando el vector cambia de posición. Cuando se coloca el valor 1 después de haber tenido el valor 2, los vectores antiguos irán desapareciendo de forma paulatina cuando se ejecuta alguna acción. _x000D__x000D_Para ver como trabaja, en una hoja nueva de ScienSolar agregue un vector (oprimiendo el botón +Vector) e ingrese el número 2 en la celda C13=2. Oprima el botón de rotación &gt;&gt;C. Ahora cambie las posiciones iniciales del vector y sus coordenadas y vuelva a oprimir &gt;&gt;C.  Observará que aparece en el sistema de coordenadas un abanico de vectores. Posteriormente ingrese  C13=1 y oprima &gt;&gt;C para ver desaparecer los vectores paulatinamente. Oprima de nuevo &gt;&gt;C para su total desaparición.  Si desea que los vectores desaparezcan instantáneamente, debe colocar en la celda A8 un valor mayor a 5000, por ejemplo A8=6000 y oprimir cualquier botón de actualización. </v>
      </c>
    </row>
    <row r="258" spans="27:32" x14ac:dyDescent="0.2">
      <c r="AA258" t="s">
        <v>134</v>
      </c>
      <c r="AB258" t="str">
        <f>HLOOKUP($Q$2,$AD$4:$AK$800,AD258)</f>
        <v>Vector thickness. The default value is 1. For thicker vectors enter a value greater than 1. Here, as in other configuration cells, dynamic formulas can be entered that change the appearance of the vectors depending on certain particular parameters for each project.</v>
      </c>
      <c r="AD258">
        <v>255</v>
      </c>
      <c r="AE258" t="str">
        <f>$AE$231</f>
        <v>Vector thickness. The default value is 1. For thicker vectors enter a value greater than 1. Here, as in other configuration cells, dynamic formulas can be entered that change the appearance of the vectors depending on certain particular parameters for each project.</v>
      </c>
      <c r="AF258" t="str">
        <f>$AF$231</f>
        <v xml:space="preserve">Grosor del vector. El valor predeterminado es 1. Para vectores más gruesos coloque un valor mayor que 1. Aquí, como en otras celdas de configuración, se pueden ingresar fórmulas dinámicas que cambian la apariencia de los vectores dependiendo de ciertos parámetros particulares para cada proyecto. </v>
      </c>
    </row>
    <row r="259" spans="27:32" x14ac:dyDescent="0.2">
      <c r="AA259" t="s">
        <v>137</v>
      </c>
      <c r="AB259" t="str">
        <f>HLOOKUP($Q$2,$AD$4:$AK$800,AD259)</f>
        <v xml:space="preserve">Color of the vector or shape that is loaded into the coordinate system. Change the background color of this cell with the respective Excel tool and will change the color of the vector (after pressing XYZ). This cell is free to use with data or formulas. To see how it works, in a new ScienSolar sheet press +Vector, then change the color of this cell and press XYZ. Change the shape code to 114 (instead of 183), press YZ, change the color and press YZ again. </v>
      </c>
      <c r="AD259">
        <v>256</v>
      </c>
      <c r="AE259" t="str">
        <f>$AE$223</f>
        <v xml:space="preserve">Color of the vector or shape that is loaded into the coordinate system. Change the background color of this cell with the respective Excel tool and will change the color of the vector (after pressing XYZ). This cell is free to use with data or formulas. To see how it works, in a new ScienSolar sheet press +Vector, then change the color of this cell and press XYZ. Change the shape code to 114 (instead of 183), press YZ, change the color and press YZ again. </v>
      </c>
      <c r="AF259" t="str">
        <f>$AF$223</f>
        <v>Color del vector o de la forma que se carga al sistema de coordenadas. Cambie el color de fondo de esta celda con la respectiva herramienta de Excel  y cambiará el color del vector (luego de oprimir XYZ). Esta celda está libre para utilizarla con datos o fórmulas. Para ver cómo funciona,  en una nueva hoja de ScienSolar oprima +Vector, luego cambie el color de esta celda y oprima XYZ. Cambie el código de la forma a 114 (en lugar de 183), oprima YZ, cambie el color y vuelva a oprimir YZ.</v>
      </c>
    </row>
    <row r="260" spans="27:32" x14ac:dyDescent="0.2">
      <c r="AA260" t="s">
        <v>140</v>
      </c>
      <c r="AB260" t="str">
        <f>HLOOKUP($Q$2,$AD$4:$AK$800,AD260)</f>
        <v>FIELD MODE. Possible values:_x000D_o --&gt; Cartesian Coordinates,_x000D_c --&gt; Cylindrical Coordinates,_x000D_s --&gt; Spherical Coordinates,_x000D_empty --&gt; Field Mode disabled._x000D__x000D_Once one of these values has been entered (in lower case and without the equal sign), pressing XYZ will display a string of values explained below. Only the values in brackets should be modified according to the units of the coordinates:_x000D__x000D_CARTESIAN COORDINATES:_x000D_o[5]x=[40;40] --&gt; Step and range in x,_x000D_o2[20]y=[-100;100] --&gt; Step and range in y,_x000D_o3[40]z=[0;100] --&gt; Step and range in z,_x000D__x000D_CYLINDRICAL COORDINATES:_x000D_c[5]rho=[40;40] --&gt; Step and range in rho,_x000D_c2[20]phi=[0;360] --&gt; Step and range in phi,_x000D_c3[40]z=[0;100] --&gt; Step and range in z,_x000D__x000D_SPHERICAL COORDINATES:_x000D_s[5]r=[40;40] --&gt; Step and range in r,_x000D_s2[20]phi=[180;270] --&gt; Step and range in phi,_x000D_s3[5]theta=[0;90] --&gt; Step and range in theta,_x000D__x000D_color=[80] --&gt; Approximate magnitude of the largest vector to distribute the color gradient in all vectors according to their magnitude,_x000D_[cart.]=[0;0;0] --&gt; Shift of the origin of coordinates with respect to the original,_x000D_tfactor=0.001386089s --&gt; Information on the time of placing a single vector on the sheet. No action required._x000D__x000D_PROPERTIES: This cell can only be used to clone the vectors in three-dimensional space. When it is empty, its function is inactive. The distribution of the vectors can be done in three ways: through Cartesian, cylindrical or spherical coordinates. Examples of application of this function can be seen in vector 5 of the ELECTRIC DIPOLE project and a more advanced form of its use in projectsELECTRIC DIPOLE, PLANE SYMMETRY, CYLINDRICAL SYMMETRY and SPHERICAL SYMMETRY.</v>
      </c>
      <c r="AD260">
        <v>257</v>
      </c>
      <c r="AE260" t="str">
        <f>$AE$224</f>
        <v>FIELD MODE. Possible values:_x000D_o --&gt; Cartesian Coordinates,_x000D_c --&gt; Cylindrical Coordinates,_x000D_s --&gt; Spherical Coordinates,_x000D_empty --&gt; Field Mode disabled._x000D__x000D_Once one of these values has been entered (in lower case and without the equal sign), pressing XYZ will display a string of values explained below. Only the values in brackets should be modified according to the units of the coordinates:_x000D__x000D_CARTESIAN COORDINATES:_x000D_o[5]x=[40;40] --&gt; Step and range in x,_x000D_o2[20]y=[-100;100] --&gt; Step and range in y,_x000D_o3[40]z=[0;100] --&gt; Step and range in z,_x000D__x000D_CYLINDRICAL COORDINATES:_x000D_c[5]rho=[40;40] --&gt; Step and range in rho,_x000D_c2[20]phi=[0;360] --&gt; Step and range in phi,_x000D_c3[40]z=[0;100] --&gt; Step and range in z,_x000D__x000D_SPHERICAL COORDINATES:_x000D_s[5]r=[40;40] --&gt; Step and range in r,_x000D_s2[20]phi=[180;270] --&gt; Step and range in phi,_x000D_s3[5]theta=[0;90] --&gt; Step and range in theta,_x000D__x000D_color=[80] --&gt; Approximate magnitude of the largest vector to distribute the color gradient in all vectors according to their magnitude,_x000D_[cart.]=[0;0;0] --&gt; Shift of the origin of coordinates with respect to the original,_x000D_tfactor=0.001386089s --&gt; Information on the time of placing a single vector on the sheet. No action required._x000D__x000D_PROPERTIES: This cell can only be used to clone the vectors in three-dimensional space. When it is empty, its function is inactive. The distribution of the vectors can be done in three ways: through Cartesian, cylindrical or spherical coordinates. Examples of application of this function can be seen in vector 5 of the ELECTRIC DIPOLE project and a more advanced form of its use in projectsELECTRIC DIPOLE, PLANE SYMMETRY, CYLINDRICAL SYMMETRY and SPHERICAL SYMMETRY.</v>
      </c>
      <c r="AF260" t="str">
        <f>$AF$224</f>
        <v>MODO CAMPO. Posibles valores:_x000D_o --&gt; coordenadas cartesianas,_x000D_c --&gt; coordenadas cilíndricas,_x000D_s --&gt; coordenadas esféricas,_x000D_vacía --&gt; modo campo deshabilitado._x000D__x000D_Una vez ingresado uno de estos valores (en minúscula y sin el signo igual), oprimiendo XYZ aparecerá una cadena de valores que se explica a continuación. Se deben modificar únicamente los valores entre corchetes de acuerdo a las unidades de las coordenadas:_x000D__x000D_COORDENADAS CARTESIANAS:_x000D_o[5]x=[40;40] --&gt; paso y rango en x,_x000D_o2[20]y=[-100;100] --&gt; paso y rango en y,_x000D_o3[40]z=[0;100] --&gt; paso y rango en z,_x000D__x000D_COORDENADAS CILÍNDRICAS:_x000D_c[5]rho=[40;40] --&gt; paso y rango en rho,_x000D_c2[20]phi=[0;360] --&gt; paso y rango en phi,_x000D_c3[40]z=[0;100] --&gt; paso y rango en z,_x000D__x000D_COORDENADAS ESFÉRICAS:_x000D_s[5]r=[40;40] --&gt; paso y rango en r,_x000D_s2[20]phi=[180;270] --&gt; paso y rango en phi,_x000D_s3[5]theta=[0;90] --&gt; paso y rango en theta,_x000D__x000D_color=[80] --&gt; magnitud aproximada del mayor vector para distribuir el gradiente de color en todos los vectores de acuerdo a su magnitud,_x000D_[cart.]=[0;0;0] --&gt; corrimiento del origen de coordenadas con respecto al original,_x000D_tfactor=0,001386089s --&gt; información del tiempo de puesta de un solo vector en la hoja. No requiere ninguna acción._x000D__x000D_PROPIEDADES: Esta celda sólo puede ser usada para clonar los vectores en el espacio tridimensional. Cuando está vacía, su función se inactiva. La distribución de los vectores se puede hacer de tres maneras: a través de coordenadas cartesianas, cilíndricas o esféricas. Ejemplos de aplicación de esta función se pueden ver en en el vector 5 del proyecto DIPOLO ELÉCTRICO y una forma más avanzada de su uso en los proyectos DIPOLO ELÉCTRICO, SIMETRÍA PLANA, SIMETRÍA CILÍNDRICA y SIMETRÍA ESFÉRICA.</v>
      </c>
    </row>
    <row r="261" spans="27:32" x14ac:dyDescent="0.2">
      <c r="AA261" t="s">
        <v>143</v>
      </c>
      <c r="AB261" t="str">
        <f>HLOOKUP($Q$2,$AD$4:$AK$800,AD261)</f>
        <v>Transparency of the current vector. Positive decimal values are accepted from 0 to 1, where with the value 0 it has no transparency and with the value 1 its transparency is total. This function is useful for example for auxiliary vectors that are not directly part of the problem.</v>
      </c>
      <c r="AD261">
        <v>258</v>
      </c>
      <c r="AE261" t="str">
        <f>$AE$225</f>
        <v>Transparency of the current vector. Positive decimal values are accepted from 0 to 1, where with the value 0 it has no transparency and with the value 1 its transparency is total. This function is useful for example for auxiliary vectors that are not directly part of the problem.</v>
      </c>
      <c r="AF261" t="str">
        <f>$AF$225</f>
        <v xml:space="preserve">Transparencia del vector en curso. Se aceptan valores positivos decimales desde 0 hasta 1, en donde con el valor 0 no tiene transparencia y con el valor 1 su transparencia es total. Esta función es útil por ejemplo para vectores auxiliares que no hacen parte del problema directamente.  </v>
      </c>
    </row>
    <row r="262" spans="27:32" x14ac:dyDescent="0.2">
      <c r="AA262" t="s">
        <v>146</v>
      </c>
      <c r="AB262" t="str">
        <f>HLOOKUP($Q$2,$AD$4:$AK$800,AD262)</f>
        <v>Free cell for form 183. For form -114, the indicator position column is entered here (the row is entered in the adjacent cell on the left.) _x000D__x000D_To see how it works, open a new ScienSolar sheet, press +Vector to add a new vector and place (with minus sign) B7=-114, B9=6,C9= 3 for the purpose of targeting the color cell.Press YZ to see the result. Change the values B9=8,C9=5 to point to the cell in row 8, column 5. Set B10=3 to C10=3 to change the position of the square.Set B12=8, C12=3 to resize. Press YZ to see the result. Press &gt;&gt;C to rotate the coordinate system. Remove the minus sign at B7, B7=114. Press &gt;&gt;C again to see the difference.</v>
      </c>
      <c r="AD262">
        <v>259</v>
      </c>
      <c r="AE262" t="str">
        <f>$AE$226</f>
        <v>Free cell for form 183. For form -114, the indicator position column is entered here (the row is entered in the adjacent cell on the left.) _x000D__x000D_To see how it works, open a new ScienSolar sheet, press +Vector to add a new vector and place (with minus sign) B7=-114, B9=6,C9= 3 for the purpose of targeting the color cell.Press YZ to see the result. Change the values B9=8,C9=5 to point to the cell in row 8, column 5. Set B10=3 to C10=3 to change the position of the square.Set B12=8, C12=3 to resize. Press YZ to see the result. Press &gt;&gt;C to rotate the coordinate system. Remove the minus sign at B7, B7=114. Press &gt;&gt;C again to see the difference.</v>
      </c>
      <c r="AF262" t="str">
        <f>$AF$226</f>
        <v>Celda libre para la forma 183. Para la forma -114 se introduce aquí la columna de posición del indicador (la fila se introduce en la celda contigua de la izquierda.) _x000D__x000D_Para ver cómo funciona, abra una nueva hoja de ScienSolar, oprima +Vector para agregar un nuevo vector y coloque (con signo menos) B7=-114, B9=6,C9=3 con el propósito de apuntar a la celda del color. Oprima YZ para ver el resultado. Cambie los valores B9=8,C9=5 para apuntar a la celda que se encuentra en la fila 8, columna 5. Coloque B10=3 C10=3 para cambiar la posición del cuadrado. Coloque B12=8, C12=3 para cambiar su tamaño. Oprima YZ para ver el resultado. Oprima &gt;&gt;C para rotar el sistema de coordenadas. Quite el signo menos en B7, B7=114. Oprima de nuevo &gt;&gt;C para ver la diferencia.</v>
      </c>
    </row>
    <row r="263" spans="27:32" x14ac:dyDescent="0.2">
      <c r="AA263" t="s">
        <v>149</v>
      </c>
      <c r="AB263" t="str">
        <f>HLOOKUP($Q$2,$AD$4:$AK$800,AD263)</f>
        <v>This cell indicates the initial position on the Z axis of the current vector. When working in FIELD mode, the code automatically deletes the data in this cell and replaces it with =C11, since in C11 will traverse (in field mode) all the initial values of the Z coordinates of the given field vectors for a range in the Z coordinate. In this cell the user can enter constant values as well as functions._x000D__x000D_ To see how it works, in a new ScienSolar sheet add a new vector and set A12 = 4, B12 = 3, C12 = 0. Press the XYZ button. Enter other values and observe the changes in the coordinate system.</v>
      </c>
      <c r="AD263">
        <v>260</v>
      </c>
      <c r="AE263" t="str">
        <f>$AE$227</f>
        <v>This cell indicates the initial position on the Z axis of the current vector. When working in FIELD mode, the code automatically deletes the data in this cell and replaces it with =C11, since in C11 will traverse (in field mode) all the initial values of the Z coordinates of the given field vectors for a range in the Z coordinate. In this cell the user can enter constant values as well as functions._x000D__x000D_ To see how it works, in a new ScienSolar sheet add a new vector and set A12 = 4, B12 = 3, C12 = 0. Press the XYZ button. Enter other values and observe the changes in the coordinate system.</v>
      </c>
      <c r="AF263" t="str">
        <f>$AF$227</f>
        <v xml:space="preserve">Esta celda indica la posición inicial en el eje Z del vector actual. Cuando se trabaja en modo CAMPO, el código automáticamente borra los datos de esta celda y los reemplaza por =C11, puesto que en C11 se recorrerán (en modo campo) todos los valores iniciales de las coordenadas en Z de los vectores del campo dados para un rango en la coordenada Z. En esta celda el usuario puede introducir valores constantes así como funciones._x000D__x000D_ Para ver como funciona, en una nueva hoja de ScienSolar agregue un nuevo vector y en A12 = 4, B12= 3, C12 = 0. Oprima XYZ. Ponga otros valores y observe los cambios en el sistema de coordenadas. </v>
      </c>
    </row>
    <row r="264" spans="27:32" x14ac:dyDescent="0.2">
      <c r="AA264" t="s">
        <v>152</v>
      </c>
      <c r="AB264" t="str">
        <f>HLOOKUP($Q$2,$AD$4:$AK$800,AD264)</f>
        <v>This cell is used by the code when working in FIELD MODE to cycle through all the coordinate values as variables. In other words, this cell is equivalent to the variable z when working with a function f(z). As an example of using this cell, see the ELECTRICAL DIPOLE, CYLINDRICAL SYMMETRY and SPHERICAL SYMMETRY projects. For scalar fields, see the FUNCTIONS project.</v>
      </c>
      <c r="AD264">
        <v>261</v>
      </c>
      <c r="AE264" t="str">
        <f>$AE$228</f>
        <v>This cell is used by the code when working in FIELD MODE to cycle through all the coordinate values as variables. In other words, this cell is equivalent to the variable z when working with a function f(z). As an example of using this cell, see the ELECTRICAL DIPOLE, CYLINDRICAL SYMMETRY and SPHERICAL SYMMETRY projects. For scalar fields, see the FUNCTIONS project.</v>
      </c>
      <c r="AF264" t="str">
        <f>$AF$228</f>
        <v>Esta celda es usada por el código cuando se trabaja en MODO CAMPO para recorrer todos los valores de las coordenadas como variables. Dicho de otra manera, esta celda equivale a la variable z cuando se trabaja con una función f(z). Como ejemplo de uso de esta celda ver los proyectos DIPOLO ELÉCTRICO, SIMETRÍA CILÍNDRICA y SIMETRÍA ESFÉRICA. Para campos escalares ver el proyecto FUNCIONES.</v>
      </c>
    </row>
    <row r="265" spans="27:32" x14ac:dyDescent="0.2">
      <c r="AA265" t="s">
        <v>155</v>
      </c>
      <c r="AB265" t="str">
        <f>HLOOKUP($Q$2,$AD$4:$AK$800,AD265)</f>
        <v>In this cell the value of the coordinate on the Z axis of the vector is entered. When working in FIELD MODE, the function corresponding to the Z axis of the vector field is entered here. As an example of use of this cell see the ELECTRICAL DIPOLE, CYLINDRICAL SYMMETRY and SPHERICAL SYMMETRY projects. For scalar fields see the FUNCTIONS project.</v>
      </c>
      <c r="AD265">
        <v>262</v>
      </c>
      <c r="AE265" t="str">
        <f>$AE$229</f>
        <v>In this cell the value of the coordinate on the Z axis of the vector is entered. When working in FIELD MODE, the function corresponding to the Z axis of the vector field is entered here. As an example of use of this cell see the ELECTRICAL DIPOLE, CYLINDRICAL SYMMETRY and SPHERICAL SYMMETRY projects. For scalar fields see the FUNCTIONS project.</v>
      </c>
      <c r="AF265" t="str">
        <f>$AF$229</f>
        <v>En esta celda se introduce el valor de la coordenada en el eje Z del vector. Cuando se trabaja en MODO CAMPO, se introduce aquí la función correspondiente al eje Z del campo vectorial. Como ejemplo de uso de esta celda ver los proyectos  DIPOLO ELÉCTRICO, SIMETRÍA CILÍNDRICA y SIMETRÍA ESFÉRICA. Para campos escalares ver el proyecto FUNCIONES.</v>
      </c>
    </row>
    <row r="266" spans="27:32" x14ac:dyDescent="0.2">
      <c r="AA266" t="s">
        <v>158</v>
      </c>
      <c r="AB266" t="str">
        <f>HLOOKUP($Q$2,$AD$4:$AK$800,AD266)</f>
        <v>Vector HISTORY cell. Possible values 1 and 2. With the value 2 the vector will leave a trace of its path in the spreadsheet, which is visible when the vector changes position. When the value 1 is placed after having had the value 2, the old vectors will disappear from gradually when some action is executed._x000D__x000D_To see how it works, in a new ScienSolar sheet add a vector (by pressing the +Vector button) and enter the number 2 in cell C13=2. Press the rotate button &gt;&gt;C. Now change the initial positions of the vector and its coordinates and press &gt;&gt;C again. You will notice that a set of vectors appears in the coordinate system. Then enter C13=1 and press &gt;&gt;C to see the vectors gradually disappear. Press &gt;&gt;C again for their complete disappearance. If you want the vectors to disappear instantly, you must enter a value greater than 5000 in cell A8, for example A8=6000, and press any refresh button.</v>
      </c>
      <c r="AD266">
        <v>263</v>
      </c>
      <c r="AE266" t="str">
        <f>$AE$230</f>
        <v>Vector HISTORY cell. Possible values 1 and 2. With the value 2 the vector will leave a trace of its path in the spreadsheet, which is visible when the vector changes position. When the value 1 is placed after having had the value 2, the old vectors will disappear from gradually when some action is executed._x000D__x000D_To see how it works, in a new ScienSolar sheet add a vector (by pressing the +Vector button) and enter the number 2 in cell C13=2. Press the rotate button &gt;&gt;C. Now change the initial positions of the vector and its coordinates and press &gt;&gt;C again. You will notice that a set of vectors appears in the coordinate system. Then enter C13=1 and press &gt;&gt;C to see the vectors gradually disappear. Press &gt;&gt;C again for their complete disappearance. If you want the vectors to disappear instantly, you must enter a value greater than 5000 in cell A8, for example A8=6000, and press any refresh button.</v>
      </c>
      <c r="AF266" t="str">
        <f>$AF$230</f>
        <v xml:space="preserve">Celda de HISTORIA del vector. Posibles valores 1 y 2.  Con el valor 2 el vector dejará huella de su recorrido en la hoja de cálculo, lo cual es visible cuando el vector cambia de posición. Cuando se coloca el valor 1 después de haber tenido el valor 2, los vectores antiguos irán desapareciendo de forma paulatina cuando se ejecuta alguna acción. _x000D__x000D_Para ver como trabaja, en una hoja nueva de ScienSolar agregue un vector (oprimiendo el botón +Vector) e ingrese el número 2 en la celda C13=2. Oprima el botón de rotación &gt;&gt;C. Ahora cambie las posiciones iniciales del vector y sus coordenadas y vuelva a oprimir &gt;&gt;C.  Observará que aparece en el sistema de coordenadas un abanico de vectores. Posteriormente ingrese  C13=1 y oprima &gt;&gt;C para ver desaparecer los vectores paulatinamente. Oprima de nuevo &gt;&gt;C para su total desaparición.  Si desea que los vectores desaparezcan instantáneamente, debe colocar en la celda A8 un valor mayor a 5000, por ejemplo A8=6000 y oprimir cualquier botón de actualización. </v>
      </c>
    </row>
    <row r="267" spans="27:32" x14ac:dyDescent="0.2">
      <c r="AA267" t="s">
        <v>161</v>
      </c>
      <c r="AB267" t="str">
        <f>HLOOKUP($Q$2,$AD$4:$AK$800,AD267)</f>
        <v>Vector thickness. The default value is 1. For thicker vectors enter a value greater than 1. Here, as in other configuration cells, dynamic formulas can be entered that change the appearance of the vectors depending on certain particular parameters for each project.</v>
      </c>
      <c r="AD267">
        <v>264</v>
      </c>
      <c r="AE267" t="str">
        <f>$AE$231</f>
        <v>Vector thickness. The default value is 1. For thicker vectors enter a value greater than 1. Here, as in other configuration cells, dynamic formulas can be entered that change the appearance of the vectors depending on certain particular parameters for each project.</v>
      </c>
      <c r="AF267" t="str">
        <f>$AF$231</f>
        <v xml:space="preserve">Grosor del vector. El valor predeterminado es 1. Para vectores más gruesos coloque un valor mayor que 1. Aquí, como en otras celdas de configuración, se pueden ingresar fórmulas dinámicas que cambian la apariencia de los vectores dependiendo de ciertos parámetros particulares para cada proyecto. </v>
      </c>
    </row>
    <row r="268" spans="27:32" x14ac:dyDescent="0.2">
      <c r="AA268" t="s">
        <v>164</v>
      </c>
      <c r="AB268" t="str">
        <f>HLOOKUP($Q$2,$AD$4:$AK$800,AD268)</f>
        <v xml:space="preserve">Color of the vector or shape that is loaded into the coordinate system. Change the background color of this cell with the respective Excel tool and will change the color of the vector (after pressing XYZ). This cell is free to use with data or formulas. To see how it works, in a new ScienSolar sheet press +Vector, then change the color of this cell and press XYZ. Change the shape code to 114 (instead of 183), press YZ, change the color and press YZ again. </v>
      </c>
      <c r="AD268">
        <v>265</v>
      </c>
      <c r="AE268" t="str">
        <f>$AE$223</f>
        <v xml:space="preserve">Color of the vector or shape that is loaded into the coordinate system. Change the background color of this cell with the respective Excel tool and will change the color of the vector (after pressing XYZ). This cell is free to use with data or formulas. To see how it works, in a new ScienSolar sheet press +Vector, then change the color of this cell and press XYZ. Change the shape code to 114 (instead of 183), press YZ, change the color and press YZ again. </v>
      </c>
      <c r="AF268" t="str">
        <f>$AF$223</f>
        <v>Color del vector o de la forma que se carga al sistema de coordenadas. Cambie el color de fondo de esta celda con la respectiva herramienta de Excel  y cambiará el color del vector (luego de oprimir XYZ). Esta celda está libre para utilizarla con datos o fórmulas. Para ver cómo funciona,  en una nueva hoja de ScienSolar oprima +Vector, luego cambie el color de esta celda y oprima XYZ. Cambie el código de la forma a 114 (en lugar de 183), oprima YZ, cambie el color y vuelva a oprimir YZ.</v>
      </c>
    </row>
    <row r="269" spans="27:32" x14ac:dyDescent="0.2">
      <c r="AA269" t="s">
        <v>167</v>
      </c>
      <c r="AB269" t="str">
        <f>HLOOKUP($Q$2,$AD$4:$AK$800,AD269)</f>
        <v>FIELD MODE. Possible values:_x000D_o --&gt; Cartesian Coordinates,_x000D_c --&gt; Cylindrical Coordinates,_x000D_s --&gt; Spherical Coordinates,_x000D_empty --&gt; Field Mode disabled._x000D__x000D_Once one of these values has been entered (in lower case and without the equal sign), pressing XYZ will display a string of values explained below. Only the values in brackets should be modified according to the units of the coordinates:_x000D__x000D_CARTESIAN COORDINATES:_x000D_o[5]x=[40;40] --&gt; Step and range in x,_x000D_o2[20]y=[-100;100] --&gt; Step and range in y,_x000D_o3[40]z=[0;100] --&gt; Step and range in z,_x000D__x000D_CYLINDRICAL COORDINATES:_x000D_c[5]rho=[40;40] --&gt; Step and range in rho,_x000D_c2[20]phi=[0;360] --&gt; Step and range in phi,_x000D_c3[40]z=[0;100] --&gt; Step and range in z,_x000D__x000D_SPHERICAL COORDINATES:_x000D_s[5]r=[40;40] --&gt; Step and range in r,_x000D_s2[20]phi=[180;270] --&gt; Step and range in phi,_x000D_s3[5]theta=[0;90] --&gt; Step and range in theta,_x000D__x000D_color=[80] --&gt; Approximate magnitude of the largest vector to distribute the color gradient in all vectors according to their magnitude,_x000D_[cart.]=[0;0;0] --&gt; Shift of the origin of coordinates with respect to the original,_x000D_tfactor=0.001386089s --&gt; Information on the time of placing a single vector on the sheet. No action required._x000D__x000D_PROPERTIES: This cell can only be used to clone the vectors in three-dimensional space. When it is empty, its function is inactive. The distribution of the vectors can be done in three ways: through Cartesian, cylindrical or spherical coordinates. Examples of application of this function can be seen in vector 5 of the ELECTRIC DIPOLE project and a more advanced form of its use in projectsELECTRIC DIPOLE, PLANE SYMMETRY, CYLINDRICAL SYMMETRY and SPHERICAL SYMMETRY.</v>
      </c>
      <c r="AD269">
        <v>266</v>
      </c>
      <c r="AE269" t="str">
        <f>$AE$224</f>
        <v>FIELD MODE. Possible values:_x000D_o --&gt; Cartesian Coordinates,_x000D_c --&gt; Cylindrical Coordinates,_x000D_s --&gt; Spherical Coordinates,_x000D_empty --&gt; Field Mode disabled._x000D__x000D_Once one of these values has been entered (in lower case and without the equal sign), pressing XYZ will display a string of values explained below. Only the values in brackets should be modified according to the units of the coordinates:_x000D__x000D_CARTESIAN COORDINATES:_x000D_o[5]x=[40;40] --&gt; Step and range in x,_x000D_o2[20]y=[-100;100] --&gt; Step and range in y,_x000D_o3[40]z=[0;100] --&gt; Step and range in z,_x000D__x000D_CYLINDRICAL COORDINATES:_x000D_c[5]rho=[40;40] --&gt; Step and range in rho,_x000D_c2[20]phi=[0;360] --&gt; Step and range in phi,_x000D_c3[40]z=[0;100] --&gt; Step and range in z,_x000D__x000D_SPHERICAL COORDINATES:_x000D_s[5]r=[40;40] --&gt; Step and range in r,_x000D_s2[20]phi=[180;270] --&gt; Step and range in phi,_x000D_s3[5]theta=[0;90] --&gt; Step and range in theta,_x000D__x000D_color=[80] --&gt; Approximate magnitude of the largest vector to distribute the color gradient in all vectors according to their magnitude,_x000D_[cart.]=[0;0;0] --&gt; Shift of the origin of coordinates with respect to the original,_x000D_tfactor=0.001386089s --&gt; Information on the time of placing a single vector on the sheet. No action required._x000D__x000D_PROPERTIES: This cell can only be used to clone the vectors in three-dimensional space. When it is empty, its function is inactive. The distribution of the vectors can be done in three ways: through Cartesian, cylindrical or spherical coordinates. Examples of application of this function can be seen in vector 5 of the ELECTRIC DIPOLE project and a more advanced form of its use in projectsELECTRIC DIPOLE, PLANE SYMMETRY, CYLINDRICAL SYMMETRY and SPHERICAL SYMMETRY.</v>
      </c>
      <c r="AF269" t="str">
        <f>$AF$224</f>
        <v>MODO CAMPO. Posibles valores:_x000D_o --&gt; coordenadas cartesianas,_x000D_c --&gt; coordenadas cilíndricas,_x000D_s --&gt; coordenadas esféricas,_x000D_vacía --&gt; modo campo deshabilitado._x000D__x000D_Una vez ingresado uno de estos valores (en minúscula y sin el signo igual), oprimiendo XYZ aparecerá una cadena de valores que se explica a continuación. Se deben modificar únicamente los valores entre corchetes de acuerdo a las unidades de las coordenadas:_x000D__x000D_COORDENADAS CARTESIANAS:_x000D_o[5]x=[40;40] --&gt; paso y rango en x,_x000D_o2[20]y=[-100;100] --&gt; paso y rango en y,_x000D_o3[40]z=[0;100] --&gt; paso y rango en z,_x000D__x000D_COORDENADAS CILÍNDRICAS:_x000D_c[5]rho=[40;40] --&gt; paso y rango en rho,_x000D_c2[20]phi=[0;360] --&gt; paso y rango en phi,_x000D_c3[40]z=[0;100] --&gt; paso y rango en z,_x000D__x000D_COORDENADAS ESFÉRICAS:_x000D_s[5]r=[40;40] --&gt; paso y rango en r,_x000D_s2[20]phi=[180;270] --&gt; paso y rango en phi,_x000D_s3[5]theta=[0;90] --&gt; paso y rango en theta,_x000D__x000D_color=[80] --&gt; magnitud aproximada del mayor vector para distribuir el gradiente de color en todos los vectores de acuerdo a su magnitud,_x000D_[cart.]=[0;0;0] --&gt; corrimiento del origen de coordenadas con respecto al original,_x000D_tfactor=0,001386089s --&gt; información del tiempo de puesta de un solo vector en la hoja. No requiere ninguna acción._x000D__x000D_PROPIEDADES: Esta celda sólo puede ser usada para clonar los vectores en el espacio tridimensional. Cuando está vacía, su función se inactiva. La distribución de los vectores se puede hacer de tres maneras: a través de coordenadas cartesianas, cilíndricas o esféricas. Ejemplos de aplicación de esta función se pueden ver en en el vector 5 del proyecto DIPOLO ELÉCTRICO y una forma más avanzada de su uso en los proyectos DIPOLO ELÉCTRICO, SIMETRÍA PLANA, SIMETRÍA CILÍNDRICA y SIMETRÍA ESFÉRICA.</v>
      </c>
    </row>
    <row r="270" spans="27:32" x14ac:dyDescent="0.2">
      <c r="AA270" t="s">
        <v>170</v>
      </c>
      <c r="AB270" t="str">
        <f>HLOOKUP($Q$2,$AD$4:$AK$800,AD270)</f>
        <v>Transparency of the current vector. Positive decimal values are accepted from 0 to 1, where with the value 0 it has no transparency and with the value 1 its transparency is total. This function is useful for example for auxiliary vectors that are not directly part of the problem.</v>
      </c>
      <c r="AD270">
        <v>267</v>
      </c>
      <c r="AE270" t="str">
        <f>$AE$225</f>
        <v>Transparency of the current vector. Positive decimal values are accepted from 0 to 1, where with the value 0 it has no transparency and with the value 1 its transparency is total. This function is useful for example for auxiliary vectors that are not directly part of the problem.</v>
      </c>
      <c r="AF270" t="str">
        <f>$AF$225</f>
        <v xml:space="preserve">Transparencia del vector en curso. Se aceptan valores positivos decimales desde 0 hasta 1, en donde con el valor 0 no tiene transparencia y con el valor 1 su transparencia es total. Esta función es útil por ejemplo para vectores auxiliares que no hacen parte del problema directamente.  </v>
      </c>
    </row>
    <row r="271" spans="27:32" x14ac:dyDescent="0.2">
      <c r="AA271" t="s">
        <v>173</v>
      </c>
      <c r="AB271" t="str">
        <f>HLOOKUP($Q$2,$AD$4:$AK$800,AD271)</f>
        <v>Free cell for form 183. For form -114, the indicator position column is entered here (the row is entered in the adjacent cell on the left.) _x000D__x000D_To see how it works, open a new ScienSolar sheet, press +Vector to add a new vector and place (with minus sign) B7=-114, B9=6,C9= 3 for the purpose of targeting the color cell.Press YZ to see the result. Change the values B9=8,C9=5 to point to the cell in row 8, column 5. Set B10=3 to C10=3 to change the position of the square.Set B12=8, C12=3 to resize. Press YZ to see the result. Press &gt;&gt;C to rotate the coordinate system. Remove the minus sign at B7, B7=114. Press &gt;&gt;C again to see the difference.</v>
      </c>
      <c r="AD271">
        <v>268</v>
      </c>
      <c r="AE271" t="str">
        <f>$AE$226</f>
        <v>Free cell for form 183. For form -114, the indicator position column is entered here (the row is entered in the adjacent cell on the left.) _x000D__x000D_To see how it works, open a new ScienSolar sheet, press +Vector to add a new vector and place (with minus sign) B7=-114, B9=6,C9= 3 for the purpose of targeting the color cell.Press YZ to see the result. Change the values B9=8,C9=5 to point to the cell in row 8, column 5. Set B10=3 to C10=3 to change the position of the square.Set B12=8, C12=3 to resize. Press YZ to see the result. Press &gt;&gt;C to rotate the coordinate system. Remove the minus sign at B7, B7=114. Press &gt;&gt;C again to see the difference.</v>
      </c>
      <c r="AF271" t="str">
        <f>$AF$226</f>
        <v>Celda libre para la forma 183. Para la forma -114 se introduce aquí la columna de posición del indicador (la fila se introduce en la celda contigua de la izquierda.) _x000D__x000D_Para ver cómo funciona, abra una nueva hoja de ScienSolar, oprima +Vector para agregar un nuevo vector y coloque (con signo menos) B7=-114, B9=6,C9=3 con el propósito de apuntar a la celda del color. Oprima YZ para ver el resultado. Cambie los valores B9=8,C9=5 para apuntar a la celda que se encuentra en la fila 8, columna 5. Coloque B10=3 C10=3 para cambiar la posición del cuadrado. Coloque B12=8, C12=3 para cambiar su tamaño. Oprima YZ para ver el resultado. Oprima &gt;&gt;C para rotar el sistema de coordenadas. Quite el signo menos en B7, B7=114. Oprima de nuevo &gt;&gt;C para ver la diferencia.</v>
      </c>
    </row>
    <row r="272" spans="27:32" x14ac:dyDescent="0.2">
      <c r="AA272" t="s">
        <v>176</v>
      </c>
      <c r="AB272" t="str">
        <f>HLOOKUP($Q$2,$AD$4:$AK$800,AD272)</f>
        <v>This cell indicates the initial position on the Z axis of the current vector. When working in FIELD mode, the code automatically deletes the data in this cell and replaces it with =C11, since in C11 will traverse (in field mode) all the initial values of the Z coordinates of the given field vectors for a range in the Z coordinate. In this cell the user can enter constant values as well as functions._x000D__x000D_ To see how it works, in a new ScienSolar sheet add a new vector and set A12 = 4, B12 = 3, C12 = 0. Press the XYZ button. Enter other values and observe the changes in the coordinate system.</v>
      </c>
      <c r="AD272">
        <v>269</v>
      </c>
      <c r="AE272" t="str">
        <f>$AE$227</f>
        <v>This cell indicates the initial position on the Z axis of the current vector. When working in FIELD mode, the code automatically deletes the data in this cell and replaces it with =C11, since in C11 will traverse (in field mode) all the initial values of the Z coordinates of the given field vectors for a range in the Z coordinate. In this cell the user can enter constant values as well as functions._x000D__x000D_ To see how it works, in a new ScienSolar sheet add a new vector and set A12 = 4, B12 = 3, C12 = 0. Press the XYZ button. Enter other values and observe the changes in the coordinate system.</v>
      </c>
      <c r="AF272" t="str">
        <f>$AF$227</f>
        <v xml:space="preserve">Esta celda indica la posición inicial en el eje Z del vector actual. Cuando se trabaja en modo CAMPO, el código automáticamente borra los datos de esta celda y los reemplaza por =C11, puesto que en C11 se recorrerán (en modo campo) todos los valores iniciales de las coordenadas en Z de los vectores del campo dados para un rango en la coordenada Z. En esta celda el usuario puede introducir valores constantes así como funciones._x000D__x000D_ Para ver como funciona, en una nueva hoja de ScienSolar agregue un nuevo vector y en A12 = 4, B12= 3, C12 = 0. Oprima XYZ. Ponga otros valores y observe los cambios en el sistema de coordenadas. </v>
      </c>
    </row>
    <row r="273" spans="27:32" x14ac:dyDescent="0.2">
      <c r="AA273" t="s">
        <v>179</v>
      </c>
      <c r="AB273" t="str">
        <f>HLOOKUP($Q$2,$AD$4:$AK$800,AD273)</f>
        <v>This cell is used by the code when working in FIELD MODE to cycle through all the coordinate values as variables. In other words, this cell is equivalent to the variable z when working with a function f(z). As an example of using this cell, see the ELECTRICAL DIPOLE, CYLINDRICAL SYMMETRY and SPHERICAL SYMMETRY projects. For scalar fields, see the FUNCTIONS project.</v>
      </c>
      <c r="AD273">
        <v>270</v>
      </c>
      <c r="AE273" t="str">
        <f>$AE$228</f>
        <v>This cell is used by the code when working in FIELD MODE to cycle through all the coordinate values as variables. In other words, this cell is equivalent to the variable z when working with a function f(z). As an example of using this cell, see the ELECTRICAL DIPOLE, CYLINDRICAL SYMMETRY and SPHERICAL SYMMETRY projects. For scalar fields, see the FUNCTIONS project.</v>
      </c>
      <c r="AF273" t="str">
        <f>$AF$228</f>
        <v>Esta celda es usada por el código cuando se trabaja en MODO CAMPO para recorrer todos los valores de las coordenadas como variables. Dicho de otra manera, esta celda equivale a la variable z cuando se trabaja con una función f(z). Como ejemplo de uso de esta celda ver los proyectos DIPOLO ELÉCTRICO, SIMETRÍA CILÍNDRICA y SIMETRÍA ESFÉRICA. Para campos escalares ver el proyecto FUNCIONES.</v>
      </c>
    </row>
    <row r="274" spans="27:32" x14ac:dyDescent="0.2">
      <c r="AA274" t="s">
        <v>182</v>
      </c>
      <c r="AB274" t="str">
        <f>HLOOKUP($Q$2,$AD$4:$AK$800,AD274)</f>
        <v>In this cell the value of the coordinate on the Z axis of the vector is entered. When working in FIELD MODE, the function corresponding to the Z axis of the vector field is entered here. As an example of use of this cell see the ELECTRICAL DIPOLE, CYLINDRICAL SYMMETRY and SPHERICAL SYMMETRY projects. For scalar fields see the FUNCTIONS project.</v>
      </c>
      <c r="AD274">
        <v>271</v>
      </c>
      <c r="AE274" t="str">
        <f>$AE$229</f>
        <v>In this cell the value of the coordinate on the Z axis of the vector is entered. When working in FIELD MODE, the function corresponding to the Z axis of the vector field is entered here. As an example of use of this cell see the ELECTRICAL DIPOLE, CYLINDRICAL SYMMETRY and SPHERICAL SYMMETRY projects. For scalar fields see the FUNCTIONS project.</v>
      </c>
      <c r="AF274" t="str">
        <f>$AF$229</f>
        <v>En esta celda se introduce el valor de la coordenada en el eje Z del vector. Cuando se trabaja en MODO CAMPO, se introduce aquí la función correspondiente al eje Z del campo vectorial. Como ejemplo de uso de esta celda ver los proyectos  DIPOLO ELÉCTRICO, SIMETRÍA CILÍNDRICA y SIMETRÍA ESFÉRICA. Para campos escalares ver el proyecto FUNCIONES.</v>
      </c>
    </row>
    <row r="275" spans="27:32" x14ac:dyDescent="0.2">
      <c r="AA275" t="s">
        <v>185</v>
      </c>
      <c r="AB275" t="str">
        <f>HLOOKUP($Q$2,$AD$4:$AK$800,AD275)</f>
        <v>Vector HISTORY cell. Possible values 1 and 2. With the value 2 the vector will leave a trace of its path in the spreadsheet, which is visible when the vector changes position. When the value 1 is placed after having had the value 2, the old vectors will disappear from gradually when some action is executed._x000D__x000D_To see how it works, in a new ScienSolar sheet add a vector (by pressing the +Vector button) and enter the number 2 in cell C13=2. Press the rotate button &gt;&gt;C. Now change the initial positions of the vector and its coordinates and press &gt;&gt;C again. You will notice that a set of vectors appears in the coordinate system. Then enter C13=1 and press &gt;&gt;C to see the vectors gradually disappear. Press &gt;&gt;C again for their complete disappearance. If you want the vectors to disappear instantly, you must enter a value greater than 5000 in cell A8, for example A8=6000, and press any refresh button.</v>
      </c>
      <c r="AD275">
        <v>272</v>
      </c>
      <c r="AE275" t="str">
        <f>$AE$230</f>
        <v>Vector HISTORY cell. Possible values 1 and 2. With the value 2 the vector will leave a trace of its path in the spreadsheet, which is visible when the vector changes position. When the value 1 is placed after having had the value 2, the old vectors will disappear from gradually when some action is executed._x000D__x000D_To see how it works, in a new ScienSolar sheet add a vector (by pressing the +Vector button) and enter the number 2 in cell C13=2. Press the rotate button &gt;&gt;C. Now change the initial positions of the vector and its coordinates and press &gt;&gt;C again. You will notice that a set of vectors appears in the coordinate system. Then enter C13=1 and press &gt;&gt;C to see the vectors gradually disappear. Press &gt;&gt;C again for their complete disappearance. If you want the vectors to disappear instantly, you must enter a value greater than 5000 in cell A8, for example A8=6000, and press any refresh button.</v>
      </c>
      <c r="AF275" t="str">
        <f>$AF$230</f>
        <v xml:space="preserve">Celda de HISTORIA del vector. Posibles valores 1 y 2.  Con el valor 2 el vector dejará huella de su recorrido en la hoja de cálculo, lo cual es visible cuando el vector cambia de posición. Cuando se coloca el valor 1 después de haber tenido el valor 2, los vectores antiguos irán desapareciendo de forma paulatina cuando se ejecuta alguna acción. _x000D__x000D_Para ver como trabaja, en una hoja nueva de ScienSolar agregue un vector (oprimiendo el botón +Vector) e ingrese el número 2 en la celda C13=2. Oprima el botón de rotación &gt;&gt;C. Ahora cambie las posiciones iniciales del vector y sus coordenadas y vuelva a oprimir &gt;&gt;C.  Observará que aparece en el sistema de coordenadas un abanico de vectores. Posteriormente ingrese  C13=1 y oprima &gt;&gt;C para ver desaparecer los vectores paulatinamente. Oprima de nuevo &gt;&gt;C para su total desaparición.  Si desea que los vectores desaparezcan instantáneamente, debe colocar en la celda A8 un valor mayor a 5000, por ejemplo A8=6000 y oprimir cualquier botón de actualización. </v>
      </c>
    </row>
    <row r="276" spans="27:32" x14ac:dyDescent="0.2">
      <c r="AA276" t="s">
        <v>188</v>
      </c>
      <c r="AB276" t="str">
        <f>HLOOKUP($Q$2,$AD$4:$AK$800,AD276)</f>
        <v>Vector thickness. The default value is 1. For thicker vectors enter a value greater than 1. Here, as in other configuration cells, dynamic formulas can be entered that change the appearance of the vectors depending on certain particular parameters for each project.</v>
      </c>
      <c r="AD276">
        <v>273</v>
      </c>
      <c r="AE276" t="str">
        <f>$AE$231</f>
        <v>Vector thickness. The default value is 1. For thicker vectors enter a value greater than 1. Here, as in other configuration cells, dynamic formulas can be entered that change the appearance of the vectors depending on certain particular parameters for each project.</v>
      </c>
      <c r="AF276" t="str">
        <f>$AF$231</f>
        <v xml:space="preserve">Grosor del vector. El valor predeterminado es 1. Para vectores más gruesos coloque un valor mayor que 1. Aquí, como en otras celdas de configuración, se pueden ingresar fórmulas dinámicas que cambian la apariencia de los vectores dependiendo de ciertos parámetros particulares para cada proyecto. </v>
      </c>
    </row>
    <row r="277" spans="27:32" x14ac:dyDescent="0.2">
      <c r="AA277" t="s">
        <v>191</v>
      </c>
      <c r="AB277" t="str">
        <f>HLOOKUP($Q$2,$AD$4:$AK$800,AD277)</f>
        <v xml:space="preserve">Color of the vector or shape that is loaded into the coordinate system. Change the background color of this cell with the respective Excel tool and will change the color of the vector (after pressing XYZ). This cell is free to use with data or formulas. To see how it works, in a new ScienSolar sheet press +Vector, then change the color of this cell and press XYZ. Change the shape code to 114 (instead of 183), press YZ, change the color and press YZ again. </v>
      </c>
      <c r="AD277">
        <v>274</v>
      </c>
      <c r="AE277" t="str">
        <f>$AE$223</f>
        <v xml:space="preserve">Color of the vector or shape that is loaded into the coordinate system. Change the background color of this cell with the respective Excel tool and will change the color of the vector (after pressing XYZ). This cell is free to use with data or formulas. To see how it works, in a new ScienSolar sheet press +Vector, then change the color of this cell and press XYZ. Change the shape code to 114 (instead of 183), press YZ, change the color and press YZ again. </v>
      </c>
      <c r="AF277" t="str">
        <f>$AF$223</f>
        <v>Color del vector o de la forma que se carga al sistema de coordenadas. Cambie el color de fondo de esta celda con la respectiva herramienta de Excel  y cambiará el color del vector (luego de oprimir XYZ). Esta celda está libre para utilizarla con datos o fórmulas. Para ver cómo funciona,  en una nueva hoja de ScienSolar oprima +Vector, luego cambie el color de esta celda y oprima XYZ. Cambie el código de la forma a 114 (en lugar de 183), oprima YZ, cambie el color y vuelva a oprimir YZ.</v>
      </c>
    </row>
    <row r="278" spans="27:32" x14ac:dyDescent="0.2">
      <c r="AA278" t="s">
        <v>194</v>
      </c>
      <c r="AB278" t="str">
        <f>HLOOKUP($Q$2,$AD$4:$AK$800,AD278)</f>
        <v>FIELD MODE. Possible values:_x000D_o --&gt; Cartesian Coordinates,_x000D_c --&gt; Cylindrical Coordinates,_x000D_s --&gt; Spherical Coordinates,_x000D_empty --&gt; Field Mode disabled._x000D__x000D_Once one of these values has been entered (in lower case and without the equal sign), pressing XYZ will display a string of values explained below. Only the values in brackets should be modified according to the units of the coordinates:_x000D__x000D_CARTESIAN COORDINATES:_x000D_o[5]x=[40;40] --&gt; Step and range in x,_x000D_o2[20]y=[-100;100] --&gt; Step and range in y,_x000D_o3[40]z=[0;100] --&gt; Step and range in z,_x000D__x000D_CYLINDRICAL COORDINATES:_x000D_c[5]rho=[40;40] --&gt; Step and range in rho,_x000D_c2[20]phi=[0;360] --&gt; Step and range in phi,_x000D_c3[40]z=[0;100] --&gt; Step and range in z,_x000D__x000D_SPHERICAL COORDINATES:_x000D_s[5]r=[40;40] --&gt; Step and range in r,_x000D_s2[20]phi=[180;270] --&gt; Step and range in phi,_x000D_s3[5]theta=[0;90] --&gt; Step and range in theta,_x000D__x000D_color=[80] --&gt; Approximate magnitude of the largest vector to distribute the color gradient in all vectors according to their magnitude,_x000D_[cart.]=[0;0;0] --&gt; Shift of the origin of coordinates with respect to the original,_x000D_tfactor=0.001386089s --&gt; Information on the time of placing a single vector on the sheet. No action required._x000D__x000D_PROPERTIES: This cell can only be used to clone the vectors in three-dimensional space. When it is empty, its function is inactive. The distribution of the vectors can be done in three ways: through Cartesian, cylindrical or spherical coordinates. Examples of application of this function can be seen in vector 5 of the ELECTRIC DIPOLE project and a more advanced form of its use in projectsELECTRIC DIPOLE, PLANE SYMMETRY, CYLINDRICAL SYMMETRY and SPHERICAL SYMMETRY.</v>
      </c>
      <c r="AD278">
        <v>275</v>
      </c>
      <c r="AE278" t="str">
        <f>$AE$224</f>
        <v>FIELD MODE. Possible values:_x000D_o --&gt; Cartesian Coordinates,_x000D_c --&gt; Cylindrical Coordinates,_x000D_s --&gt; Spherical Coordinates,_x000D_empty --&gt; Field Mode disabled._x000D__x000D_Once one of these values has been entered (in lower case and without the equal sign), pressing XYZ will display a string of values explained below. Only the values in brackets should be modified according to the units of the coordinates:_x000D__x000D_CARTESIAN COORDINATES:_x000D_o[5]x=[40;40] --&gt; Step and range in x,_x000D_o2[20]y=[-100;100] --&gt; Step and range in y,_x000D_o3[40]z=[0;100] --&gt; Step and range in z,_x000D__x000D_CYLINDRICAL COORDINATES:_x000D_c[5]rho=[40;40] --&gt; Step and range in rho,_x000D_c2[20]phi=[0;360] --&gt; Step and range in phi,_x000D_c3[40]z=[0;100] --&gt; Step and range in z,_x000D__x000D_SPHERICAL COORDINATES:_x000D_s[5]r=[40;40] --&gt; Step and range in r,_x000D_s2[20]phi=[180;270] --&gt; Step and range in phi,_x000D_s3[5]theta=[0;90] --&gt; Step and range in theta,_x000D__x000D_color=[80] --&gt; Approximate magnitude of the largest vector to distribute the color gradient in all vectors according to their magnitude,_x000D_[cart.]=[0;0;0] --&gt; Shift of the origin of coordinates with respect to the original,_x000D_tfactor=0.001386089s --&gt; Information on the time of placing a single vector on the sheet. No action required._x000D__x000D_PROPERTIES: This cell can only be used to clone the vectors in three-dimensional space. When it is empty, its function is inactive. The distribution of the vectors can be done in three ways: through Cartesian, cylindrical or spherical coordinates. Examples of application of this function can be seen in vector 5 of the ELECTRIC DIPOLE project and a more advanced form of its use in projectsELECTRIC DIPOLE, PLANE SYMMETRY, CYLINDRICAL SYMMETRY and SPHERICAL SYMMETRY.</v>
      </c>
      <c r="AF278" t="str">
        <f>$AF$224</f>
        <v>MODO CAMPO. Posibles valores:_x000D_o --&gt; coordenadas cartesianas,_x000D_c --&gt; coordenadas cilíndricas,_x000D_s --&gt; coordenadas esféricas,_x000D_vacía --&gt; modo campo deshabilitado._x000D__x000D_Una vez ingresado uno de estos valores (en minúscula y sin el signo igual), oprimiendo XYZ aparecerá una cadena de valores que se explica a continuación. Se deben modificar únicamente los valores entre corchetes de acuerdo a las unidades de las coordenadas:_x000D__x000D_COORDENADAS CARTESIANAS:_x000D_o[5]x=[40;40] --&gt; paso y rango en x,_x000D_o2[20]y=[-100;100] --&gt; paso y rango en y,_x000D_o3[40]z=[0;100] --&gt; paso y rango en z,_x000D__x000D_COORDENADAS CILÍNDRICAS:_x000D_c[5]rho=[40;40] --&gt; paso y rango en rho,_x000D_c2[20]phi=[0;360] --&gt; paso y rango en phi,_x000D_c3[40]z=[0;100] --&gt; paso y rango en z,_x000D__x000D_COORDENADAS ESFÉRICAS:_x000D_s[5]r=[40;40] --&gt; paso y rango en r,_x000D_s2[20]phi=[180;270] --&gt; paso y rango en phi,_x000D_s3[5]theta=[0;90] --&gt; paso y rango en theta,_x000D__x000D_color=[80] --&gt; magnitud aproximada del mayor vector para distribuir el gradiente de color en todos los vectores de acuerdo a su magnitud,_x000D_[cart.]=[0;0;0] --&gt; corrimiento del origen de coordenadas con respecto al original,_x000D_tfactor=0,001386089s --&gt; información del tiempo de puesta de un solo vector en la hoja. No requiere ninguna acción._x000D__x000D_PROPIEDADES: Esta celda sólo puede ser usada para clonar los vectores en el espacio tridimensional. Cuando está vacía, su función se inactiva. La distribución de los vectores se puede hacer de tres maneras: a través de coordenadas cartesianas, cilíndricas o esféricas. Ejemplos de aplicación de esta función se pueden ver en en el vector 5 del proyecto DIPOLO ELÉCTRICO y una forma más avanzada de su uso en los proyectos DIPOLO ELÉCTRICO, SIMETRÍA PLANA, SIMETRÍA CILÍNDRICA y SIMETRÍA ESFÉRICA.</v>
      </c>
    </row>
    <row r="279" spans="27:32" x14ac:dyDescent="0.2">
      <c r="AA279" t="s">
        <v>197</v>
      </c>
      <c r="AB279" t="str">
        <f>HLOOKUP($Q$2,$AD$4:$AK$800,AD279)</f>
        <v>Transparency of the current vector. Positive decimal values are accepted from 0 to 1, where with the value 0 it has no transparency and with the value 1 its transparency is total. This function is useful for example for auxiliary vectors that are not directly part of the problem.</v>
      </c>
      <c r="AD279">
        <v>276</v>
      </c>
      <c r="AE279" t="str">
        <f>$AE$225</f>
        <v>Transparency of the current vector. Positive decimal values are accepted from 0 to 1, where with the value 0 it has no transparency and with the value 1 its transparency is total. This function is useful for example for auxiliary vectors that are not directly part of the problem.</v>
      </c>
      <c r="AF279" t="str">
        <f>$AF$225</f>
        <v xml:space="preserve">Transparencia del vector en curso. Se aceptan valores positivos decimales desde 0 hasta 1, en donde con el valor 0 no tiene transparencia y con el valor 1 su transparencia es total. Esta función es útil por ejemplo para vectores auxiliares que no hacen parte del problema directamente.  </v>
      </c>
    </row>
    <row r="280" spans="27:32" x14ac:dyDescent="0.2">
      <c r="AA280" t="s">
        <v>200</v>
      </c>
      <c r="AB280" t="str">
        <f>HLOOKUP($Q$2,$AD$4:$AK$800,AD280)</f>
        <v>Free cell for form 183. For form -114, the indicator position column is entered here (the row is entered in the adjacent cell on the left.) _x000D__x000D_To see how it works, open a new ScienSolar sheet, press +Vector to add a new vector and place (with minus sign) B7=-114, B9=6,C9= 3 for the purpose of targeting the color cell.Press YZ to see the result. Change the values B9=8,C9=5 to point to the cell in row 8, column 5. Set B10=3 to C10=3 to change the position of the square.Set B12=8, C12=3 to resize. Press YZ to see the result. Press &gt;&gt;C to rotate the coordinate system. Remove the minus sign at B7, B7=114. Press &gt;&gt;C again to see the difference.</v>
      </c>
      <c r="AD280">
        <v>277</v>
      </c>
      <c r="AE280" t="str">
        <f>$AE$226</f>
        <v>Free cell for form 183. For form -114, the indicator position column is entered here (the row is entered in the adjacent cell on the left.) _x000D__x000D_To see how it works, open a new ScienSolar sheet, press +Vector to add a new vector and place (with minus sign) B7=-114, B9=6,C9= 3 for the purpose of targeting the color cell.Press YZ to see the result. Change the values B9=8,C9=5 to point to the cell in row 8, column 5. Set B10=3 to C10=3 to change the position of the square.Set B12=8, C12=3 to resize. Press YZ to see the result. Press &gt;&gt;C to rotate the coordinate system. Remove the minus sign at B7, B7=114. Press &gt;&gt;C again to see the difference.</v>
      </c>
      <c r="AF280" t="str">
        <f>$AF$226</f>
        <v>Celda libre para la forma 183. Para la forma -114 se introduce aquí la columna de posición del indicador (la fila se introduce en la celda contigua de la izquierda.) _x000D__x000D_Para ver cómo funciona, abra una nueva hoja de ScienSolar, oprima +Vector para agregar un nuevo vector y coloque (con signo menos) B7=-114, B9=6,C9=3 con el propósito de apuntar a la celda del color. Oprima YZ para ver el resultado. Cambie los valores B9=8,C9=5 para apuntar a la celda que se encuentra en la fila 8, columna 5. Coloque B10=3 C10=3 para cambiar la posición del cuadrado. Coloque B12=8, C12=3 para cambiar su tamaño. Oprima YZ para ver el resultado. Oprima &gt;&gt;C para rotar el sistema de coordenadas. Quite el signo menos en B7, B7=114. Oprima de nuevo &gt;&gt;C para ver la diferencia.</v>
      </c>
    </row>
    <row r="281" spans="27:32" x14ac:dyDescent="0.2">
      <c r="AA281" t="s">
        <v>203</v>
      </c>
      <c r="AB281" t="str">
        <f>HLOOKUP($Q$2,$AD$4:$AK$800,AD281)</f>
        <v>This cell indicates the initial position on the Z axis of the current vector. When working in FIELD mode, the code automatically deletes the data in this cell and replaces it with =C11, since in C11 will traverse (in field mode) all the initial values of the Z coordinates of the given field vectors for a range in the Z coordinate. In this cell the user can enter constant values as well as functions._x000D__x000D_ To see how it works, in a new ScienSolar sheet add a new vector and set A12 = 4, B12 = 3, C12 = 0. Press the XYZ button. Enter other values and observe the changes in the coordinate system.</v>
      </c>
      <c r="AD281">
        <v>278</v>
      </c>
      <c r="AE281" t="str">
        <f>$AE$227</f>
        <v>This cell indicates the initial position on the Z axis of the current vector. When working in FIELD mode, the code automatically deletes the data in this cell and replaces it with =C11, since in C11 will traverse (in field mode) all the initial values of the Z coordinates of the given field vectors for a range in the Z coordinate. In this cell the user can enter constant values as well as functions._x000D__x000D_ To see how it works, in a new ScienSolar sheet add a new vector and set A12 = 4, B12 = 3, C12 = 0. Press the XYZ button. Enter other values and observe the changes in the coordinate system.</v>
      </c>
      <c r="AF281" t="str">
        <f>$AF$227</f>
        <v xml:space="preserve">Esta celda indica la posición inicial en el eje Z del vector actual. Cuando se trabaja en modo CAMPO, el código automáticamente borra los datos de esta celda y los reemplaza por =C11, puesto que en C11 se recorrerán (en modo campo) todos los valores iniciales de las coordenadas en Z de los vectores del campo dados para un rango en la coordenada Z. En esta celda el usuario puede introducir valores constantes así como funciones._x000D__x000D_ Para ver como funciona, en una nueva hoja de ScienSolar agregue un nuevo vector y en A12 = 4, B12= 3, C12 = 0. Oprima XYZ. Ponga otros valores y observe los cambios en el sistema de coordenadas. </v>
      </c>
    </row>
    <row r="282" spans="27:32" x14ac:dyDescent="0.2">
      <c r="AA282" t="s">
        <v>206</v>
      </c>
      <c r="AB282" t="str">
        <f>HLOOKUP($Q$2,$AD$4:$AK$800,AD282)</f>
        <v>This cell is used by the code when working in FIELD MODE to cycle through all the coordinate values as variables. In other words, this cell is equivalent to the variable z when working with a function f(z). As an example of using this cell, see the ELECTRICAL DIPOLE, CYLINDRICAL SYMMETRY and SPHERICAL SYMMETRY projects. For scalar fields, see the FUNCTIONS project.</v>
      </c>
      <c r="AD282">
        <v>279</v>
      </c>
      <c r="AE282" t="str">
        <f>$AE$228</f>
        <v>This cell is used by the code when working in FIELD MODE to cycle through all the coordinate values as variables. In other words, this cell is equivalent to the variable z when working with a function f(z). As an example of using this cell, see the ELECTRICAL DIPOLE, CYLINDRICAL SYMMETRY and SPHERICAL SYMMETRY projects. For scalar fields, see the FUNCTIONS project.</v>
      </c>
      <c r="AF282" t="str">
        <f>$AF$228</f>
        <v>Esta celda es usada por el código cuando se trabaja en MODO CAMPO para recorrer todos los valores de las coordenadas como variables. Dicho de otra manera, esta celda equivale a la variable z cuando se trabaja con una función f(z). Como ejemplo de uso de esta celda ver los proyectos DIPOLO ELÉCTRICO, SIMETRÍA CILÍNDRICA y SIMETRÍA ESFÉRICA. Para campos escalares ver el proyecto FUNCIONES.</v>
      </c>
    </row>
    <row r="283" spans="27:32" x14ac:dyDescent="0.2">
      <c r="AA283" t="s">
        <v>209</v>
      </c>
      <c r="AB283" t="str">
        <f>HLOOKUP($Q$2,$AD$4:$AK$800,AD283)</f>
        <v>In this cell the value of the coordinate on the Z axis of the vector is entered. When working in FIELD MODE, the function corresponding to the Z axis of the vector field is entered here. As an example of use of this cell see the ELECTRICAL DIPOLE, CYLINDRICAL SYMMETRY and SPHERICAL SYMMETRY projects. For scalar fields see the FUNCTIONS project.</v>
      </c>
      <c r="AD283">
        <v>280</v>
      </c>
      <c r="AE283" t="str">
        <f>$AE$229</f>
        <v>In this cell the value of the coordinate on the Z axis of the vector is entered. When working in FIELD MODE, the function corresponding to the Z axis of the vector field is entered here. As an example of use of this cell see the ELECTRICAL DIPOLE, CYLINDRICAL SYMMETRY and SPHERICAL SYMMETRY projects. For scalar fields see the FUNCTIONS project.</v>
      </c>
      <c r="AF283" t="str">
        <f>$AF$229</f>
        <v>En esta celda se introduce el valor de la coordenada en el eje Z del vector. Cuando se trabaja en MODO CAMPO, se introduce aquí la función correspondiente al eje Z del campo vectorial. Como ejemplo de uso de esta celda ver los proyectos  DIPOLO ELÉCTRICO, SIMETRÍA CILÍNDRICA y SIMETRÍA ESFÉRICA. Para campos escalares ver el proyecto FUNCIONES.</v>
      </c>
    </row>
    <row r="284" spans="27:32" x14ac:dyDescent="0.2">
      <c r="AA284" t="s">
        <v>212</v>
      </c>
      <c r="AB284" t="str">
        <f>HLOOKUP($Q$2,$AD$4:$AK$800,AD284)</f>
        <v>Vector HISTORY cell. Possible values 1 and 2. With the value 2 the vector will leave a trace of its path in the spreadsheet, which is visible when the vector changes position. When the value 1 is placed after having had the value 2, the old vectors will disappear from gradually when some action is executed._x000D__x000D_To see how it works, in a new ScienSolar sheet add a vector (by pressing the +Vector button) and enter the number 2 in cell C13=2. Press the rotate button &gt;&gt;C. Now change the initial positions of the vector and its coordinates and press &gt;&gt;C again. You will notice that a set of vectors appears in the coordinate system. Then enter C13=1 and press &gt;&gt;C to see the vectors gradually disappear. Press &gt;&gt;C again for their complete disappearance. If you want the vectors to disappear instantly, you must enter a value greater than 5000 in cell A8, for example A8=6000, and press any refresh button.</v>
      </c>
      <c r="AD284">
        <v>281</v>
      </c>
      <c r="AE284" t="str">
        <f>$AE$230</f>
        <v>Vector HISTORY cell. Possible values 1 and 2. With the value 2 the vector will leave a trace of its path in the spreadsheet, which is visible when the vector changes position. When the value 1 is placed after having had the value 2, the old vectors will disappear from gradually when some action is executed._x000D__x000D_To see how it works, in a new ScienSolar sheet add a vector (by pressing the +Vector button) and enter the number 2 in cell C13=2. Press the rotate button &gt;&gt;C. Now change the initial positions of the vector and its coordinates and press &gt;&gt;C again. You will notice that a set of vectors appears in the coordinate system. Then enter C13=1 and press &gt;&gt;C to see the vectors gradually disappear. Press &gt;&gt;C again for their complete disappearance. If you want the vectors to disappear instantly, you must enter a value greater than 5000 in cell A8, for example A8=6000, and press any refresh button.</v>
      </c>
      <c r="AF284" t="str">
        <f>$AF$230</f>
        <v xml:space="preserve">Celda de HISTORIA del vector. Posibles valores 1 y 2.  Con el valor 2 el vector dejará huella de su recorrido en la hoja de cálculo, lo cual es visible cuando el vector cambia de posición. Cuando se coloca el valor 1 después de haber tenido el valor 2, los vectores antiguos irán desapareciendo de forma paulatina cuando se ejecuta alguna acción. _x000D__x000D_Para ver como trabaja, en una hoja nueva de ScienSolar agregue un vector (oprimiendo el botón +Vector) e ingrese el número 2 en la celda C13=2. Oprima el botón de rotación &gt;&gt;C. Ahora cambie las posiciones iniciales del vector y sus coordenadas y vuelva a oprimir &gt;&gt;C.  Observará que aparece en el sistema de coordenadas un abanico de vectores. Posteriormente ingrese  C13=1 y oprima &gt;&gt;C para ver desaparecer los vectores paulatinamente. Oprima de nuevo &gt;&gt;C para su total desaparición.  Si desea que los vectores desaparezcan instantáneamente, debe colocar en la celda A8 un valor mayor a 5000, por ejemplo A8=6000 y oprimir cualquier botón de actualización. </v>
      </c>
    </row>
    <row r="285" spans="27:32" x14ac:dyDescent="0.2">
      <c r="AA285" t="s">
        <v>215</v>
      </c>
      <c r="AB285" t="str">
        <f>HLOOKUP($Q$2,$AD$4:$AK$800,AD285)</f>
        <v>Vector thickness. The default value is 1. For thicker vectors enter a value greater than 1. Here, as in other configuration cells, dynamic formulas can be entered that change the appearance of the vectors depending on certain particular parameters for each project.</v>
      </c>
      <c r="AD285">
        <v>282</v>
      </c>
      <c r="AE285" t="str">
        <f>$AE$231</f>
        <v>Vector thickness. The default value is 1. For thicker vectors enter a value greater than 1. Here, as in other configuration cells, dynamic formulas can be entered that change the appearance of the vectors depending on certain particular parameters for each project.</v>
      </c>
      <c r="AF285" t="str">
        <f>$AF$231</f>
        <v xml:space="preserve">Grosor del vector. El valor predeterminado es 1. Para vectores más gruesos coloque un valor mayor que 1. Aquí, como en otras celdas de configuración, se pueden ingresar fórmulas dinámicas que cambian la apariencia de los vectores dependiendo de ciertos parámetros particulares para cada proyecto. </v>
      </c>
    </row>
    <row r="286" spans="27:32" x14ac:dyDescent="0.2">
      <c r="AA286" t="s">
        <v>218</v>
      </c>
      <c r="AB286" t="str">
        <f>HLOOKUP($Q$2,$AD$4:$AK$800,AD286)</f>
        <v xml:space="preserve">Color of the vector or shape that is loaded into the coordinate system. Change the background color of this cell with the respective Excel tool and will change the color of the vector (after pressing XYZ). This cell is free to use with data or formulas. To see how it works, in a new ScienSolar sheet press +Vector, then change the color of this cell and press XYZ. Change the shape code to 114 (instead of 183), press YZ, change the color and press YZ again. </v>
      </c>
      <c r="AD286">
        <v>283</v>
      </c>
      <c r="AE286" t="str">
        <f>$AE$223</f>
        <v xml:space="preserve">Color of the vector or shape that is loaded into the coordinate system. Change the background color of this cell with the respective Excel tool and will change the color of the vector (after pressing XYZ). This cell is free to use with data or formulas. To see how it works, in a new ScienSolar sheet press +Vector, then change the color of this cell and press XYZ. Change the shape code to 114 (instead of 183), press YZ, change the color and press YZ again. </v>
      </c>
      <c r="AF286" t="str">
        <f>$AF$223</f>
        <v>Color del vector o de la forma que se carga al sistema de coordenadas. Cambie el color de fondo de esta celda con la respectiva herramienta de Excel  y cambiará el color del vector (luego de oprimir XYZ). Esta celda está libre para utilizarla con datos o fórmulas. Para ver cómo funciona,  en una nueva hoja de ScienSolar oprima +Vector, luego cambie el color de esta celda y oprima XYZ. Cambie el código de la forma a 114 (en lugar de 183), oprima YZ, cambie el color y vuelva a oprimir YZ.</v>
      </c>
    </row>
    <row r="287" spans="27:32" x14ac:dyDescent="0.2">
      <c r="AA287" t="s">
        <v>221</v>
      </c>
      <c r="AB287" t="str">
        <f>HLOOKUP($Q$2,$AD$4:$AK$800,AD287)</f>
        <v>FIELD MODE. Possible values:_x000D_o --&gt; Cartesian Coordinates,_x000D_c --&gt; Cylindrical Coordinates,_x000D_s --&gt; Spherical Coordinates,_x000D_empty --&gt; Field Mode disabled._x000D__x000D_Once one of these values has been entered (in lower case and without the equal sign), pressing XYZ will display a string of values explained below. Only the values in brackets should be modified according to the units of the coordinates:_x000D__x000D_CARTESIAN COORDINATES:_x000D_o[5]x=[40;40] --&gt; Step and range in x,_x000D_o2[20]y=[-100;100] --&gt; Step and range in y,_x000D_o3[40]z=[0;100] --&gt; Step and range in z,_x000D__x000D_CYLINDRICAL COORDINATES:_x000D_c[5]rho=[40;40] --&gt; Step and range in rho,_x000D_c2[20]phi=[0;360] --&gt; Step and range in phi,_x000D_c3[40]z=[0;100] --&gt; Step and range in z,_x000D__x000D_SPHERICAL COORDINATES:_x000D_s[5]r=[40;40] --&gt; Step and range in r,_x000D_s2[20]phi=[180;270] --&gt; Step and range in phi,_x000D_s3[5]theta=[0;90] --&gt; Step and range in theta,_x000D__x000D_color=[80] --&gt; Approximate magnitude of the largest vector to distribute the color gradient in all vectors according to their magnitude,_x000D_[cart.]=[0;0;0] --&gt; Shift of the origin of coordinates with respect to the original,_x000D_tfactor=0.001386089s --&gt; Information on the time of placing a single vector on the sheet. No action required._x000D__x000D_PROPERTIES: This cell can only be used to clone the vectors in three-dimensional space. When it is empty, its function is inactive. The distribution of the vectors can be done in three ways: through Cartesian, cylindrical or spherical coordinates. Examples of application of this function can be seen in vector 5 of the ELECTRIC DIPOLE project and a more advanced form of its use in projectsELECTRIC DIPOLE, PLANE SYMMETRY, CYLINDRICAL SYMMETRY and SPHERICAL SYMMETRY.</v>
      </c>
      <c r="AD287">
        <v>284</v>
      </c>
      <c r="AE287" t="str">
        <f>$AE$224</f>
        <v>FIELD MODE. Possible values:_x000D_o --&gt; Cartesian Coordinates,_x000D_c --&gt; Cylindrical Coordinates,_x000D_s --&gt; Spherical Coordinates,_x000D_empty --&gt; Field Mode disabled._x000D__x000D_Once one of these values has been entered (in lower case and without the equal sign), pressing XYZ will display a string of values explained below. Only the values in brackets should be modified according to the units of the coordinates:_x000D__x000D_CARTESIAN COORDINATES:_x000D_o[5]x=[40;40] --&gt; Step and range in x,_x000D_o2[20]y=[-100;100] --&gt; Step and range in y,_x000D_o3[40]z=[0;100] --&gt; Step and range in z,_x000D__x000D_CYLINDRICAL COORDINATES:_x000D_c[5]rho=[40;40] --&gt; Step and range in rho,_x000D_c2[20]phi=[0;360] --&gt; Step and range in phi,_x000D_c3[40]z=[0;100] --&gt; Step and range in z,_x000D__x000D_SPHERICAL COORDINATES:_x000D_s[5]r=[40;40] --&gt; Step and range in r,_x000D_s2[20]phi=[180;270] --&gt; Step and range in phi,_x000D_s3[5]theta=[0;90] --&gt; Step and range in theta,_x000D__x000D_color=[80] --&gt; Approximate magnitude of the largest vector to distribute the color gradient in all vectors according to their magnitude,_x000D_[cart.]=[0;0;0] --&gt; Shift of the origin of coordinates with respect to the original,_x000D_tfactor=0.001386089s --&gt; Information on the time of placing a single vector on the sheet. No action required._x000D__x000D_PROPERTIES: This cell can only be used to clone the vectors in three-dimensional space. When it is empty, its function is inactive. The distribution of the vectors can be done in three ways: through Cartesian, cylindrical or spherical coordinates. Examples of application of this function can be seen in vector 5 of the ELECTRIC DIPOLE project and a more advanced form of its use in projectsELECTRIC DIPOLE, PLANE SYMMETRY, CYLINDRICAL SYMMETRY and SPHERICAL SYMMETRY.</v>
      </c>
      <c r="AF287" t="str">
        <f>$AF$224</f>
        <v>MODO CAMPO. Posibles valores:_x000D_o --&gt; coordenadas cartesianas,_x000D_c --&gt; coordenadas cilíndricas,_x000D_s --&gt; coordenadas esféricas,_x000D_vacía --&gt; modo campo deshabilitado._x000D__x000D_Una vez ingresado uno de estos valores (en minúscula y sin el signo igual), oprimiendo XYZ aparecerá una cadena de valores que se explica a continuación. Se deben modificar únicamente los valores entre corchetes de acuerdo a las unidades de las coordenadas:_x000D__x000D_COORDENADAS CARTESIANAS:_x000D_o[5]x=[40;40] --&gt; paso y rango en x,_x000D_o2[20]y=[-100;100] --&gt; paso y rango en y,_x000D_o3[40]z=[0;100] --&gt; paso y rango en z,_x000D__x000D_COORDENADAS CILÍNDRICAS:_x000D_c[5]rho=[40;40] --&gt; paso y rango en rho,_x000D_c2[20]phi=[0;360] --&gt; paso y rango en phi,_x000D_c3[40]z=[0;100] --&gt; paso y rango en z,_x000D__x000D_COORDENADAS ESFÉRICAS:_x000D_s[5]r=[40;40] --&gt; paso y rango en r,_x000D_s2[20]phi=[180;270] --&gt; paso y rango en phi,_x000D_s3[5]theta=[0;90] --&gt; paso y rango en theta,_x000D__x000D_color=[80] --&gt; magnitud aproximada del mayor vector para distribuir el gradiente de color en todos los vectores de acuerdo a su magnitud,_x000D_[cart.]=[0;0;0] --&gt; corrimiento del origen de coordenadas con respecto al original,_x000D_tfactor=0,001386089s --&gt; información del tiempo de puesta de un solo vector en la hoja. No requiere ninguna acción._x000D__x000D_PROPIEDADES: Esta celda sólo puede ser usada para clonar los vectores en el espacio tridimensional. Cuando está vacía, su función se inactiva. La distribución de los vectores se puede hacer de tres maneras: a través de coordenadas cartesianas, cilíndricas o esféricas. Ejemplos de aplicación de esta función se pueden ver en en el vector 5 del proyecto DIPOLO ELÉCTRICO y una forma más avanzada de su uso en los proyectos DIPOLO ELÉCTRICO, SIMETRÍA PLANA, SIMETRÍA CILÍNDRICA y SIMETRÍA ESFÉRICA.</v>
      </c>
    </row>
    <row r="288" spans="27:32" x14ac:dyDescent="0.2">
      <c r="AA288" t="s">
        <v>224</v>
      </c>
      <c r="AB288" t="str">
        <f>HLOOKUP($Q$2,$AD$4:$AK$800,AD288)</f>
        <v>Transparency of the current vector. Positive decimal values are accepted from 0 to 1, where with the value 0 it has no transparency and with the value 1 its transparency is total. This function is useful for example for auxiliary vectors that are not directly part of the problem.</v>
      </c>
      <c r="AD288">
        <v>285</v>
      </c>
      <c r="AE288" t="str">
        <f>$AE$225</f>
        <v>Transparency of the current vector. Positive decimal values are accepted from 0 to 1, where with the value 0 it has no transparency and with the value 1 its transparency is total. This function is useful for example for auxiliary vectors that are not directly part of the problem.</v>
      </c>
      <c r="AF288" t="str">
        <f>$AF$225</f>
        <v xml:space="preserve">Transparencia del vector en curso. Se aceptan valores positivos decimales desde 0 hasta 1, en donde con el valor 0 no tiene transparencia y con el valor 1 su transparencia es total. Esta función es útil por ejemplo para vectores auxiliares que no hacen parte del problema directamente.  </v>
      </c>
    </row>
    <row r="289" spans="27:32" x14ac:dyDescent="0.2">
      <c r="AA289" t="s">
        <v>227</v>
      </c>
      <c r="AB289" t="str">
        <f>HLOOKUP($Q$2,$AD$4:$AK$800,AD289)</f>
        <v>Free cell for form 183. For form -114, the indicator position column is entered here (the row is entered in the adjacent cell on the left.) _x000D__x000D_To see how it works, open a new ScienSolar sheet, press +Vector to add a new vector and place (with minus sign) B7=-114, B9=6,C9= 3 for the purpose of targeting the color cell.Press YZ to see the result. Change the values B9=8,C9=5 to point to the cell in row 8, column 5. Set B10=3 to C10=3 to change the position of the square.Set B12=8, C12=3 to resize. Press YZ to see the result. Press &gt;&gt;C to rotate the coordinate system. Remove the minus sign at B7, B7=114. Press &gt;&gt;C again to see the difference.</v>
      </c>
      <c r="AD289">
        <v>286</v>
      </c>
      <c r="AE289" t="str">
        <f>$AE$226</f>
        <v>Free cell for form 183. For form -114, the indicator position column is entered here (the row is entered in the adjacent cell on the left.) _x000D__x000D_To see how it works, open a new ScienSolar sheet, press +Vector to add a new vector and place (with minus sign) B7=-114, B9=6,C9= 3 for the purpose of targeting the color cell.Press YZ to see the result. Change the values B9=8,C9=5 to point to the cell in row 8, column 5. Set B10=3 to C10=3 to change the position of the square.Set B12=8, C12=3 to resize. Press YZ to see the result. Press &gt;&gt;C to rotate the coordinate system. Remove the minus sign at B7, B7=114. Press &gt;&gt;C again to see the difference.</v>
      </c>
      <c r="AF289" t="str">
        <f>$AF$226</f>
        <v>Celda libre para la forma 183. Para la forma -114 se introduce aquí la columna de posición del indicador (la fila se introduce en la celda contigua de la izquierda.) _x000D__x000D_Para ver cómo funciona, abra una nueva hoja de ScienSolar, oprima +Vector para agregar un nuevo vector y coloque (con signo menos) B7=-114, B9=6,C9=3 con el propósito de apuntar a la celda del color. Oprima YZ para ver el resultado. Cambie los valores B9=8,C9=5 para apuntar a la celda que se encuentra en la fila 8, columna 5. Coloque B10=3 C10=3 para cambiar la posición del cuadrado. Coloque B12=8, C12=3 para cambiar su tamaño. Oprima YZ para ver el resultado. Oprima &gt;&gt;C para rotar el sistema de coordenadas. Quite el signo menos en B7, B7=114. Oprima de nuevo &gt;&gt;C para ver la diferencia.</v>
      </c>
    </row>
    <row r="290" spans="27:32" x14ac:dyDescent="0.2">
      <c r="AA290" t="s">
        <v>230</v>
      </c>
      <c r="AB290" t="str">
        <f>HLOOKUP($Q$2,$AD$4:$AK$800,AD290)</f>
        <v>This cell indicates the initial position on the Z axis of the current vector. When working in FIELD mode, the code automatically deletes the data in this cell and replaces it with =C11, since in C11 will traverse (in field mode) all the initial values of the Z coordinates of the given field vectors for a range in the Z coordinate. In this cell the user can enter constant values as well as functions._x000D__x000D_ To see how it works, in a new ScienSolar sheet add a new vector and set A12 = 4, B12 = 3, C12 = 0. Press the XYZ button. Enter other values and observe the changes in the coordinate system.</v>
      </c>
      <c r="AD290">
        <v>287</v>
      </c>
      <c r="AE290" t="str">
        <f>$AE$227</f>
        <v>This cell indicates the initial position on the Z axis of the current vector. When working in FIELD mode, the code automatically deletes the data in this cell and replaces it with =C11, since in C11 will traverse (in field mode) all the initial values of the Z coordinates of the given field vectors for a range in the Z coordinate. In this cell the user can enter constant values as well as functions._x000D__x000D_ To see how it works, in a new ScienSolar sheet add a new vector and set A12 = 4, B12 = 3, C12 = 0. Press the XYZ button. Enter other values and observe the changes in the coordinate system.</v>
      </c>
      <c r="AF290" t="str">
        <f>$AF$227</f>
        <v xml:space="preserve">Esta celda indica la posición inicial en el eje Z del vector actual. Cuando se trabaja en modo CAMPO, el código automáticamente borra los datos de esta celda y los reemplaza por =C11, puesto que en C11 se recorrerán (en modo campo) todos los valores iniciales de las coordenadas en Z de los vectores del campo dados para un rango en la coordenada Z. En esta celda el usuario puede introducir valores constantes así como funciones._x000D__x000D_ Para ver como funciona, en una nueva hoja de ScienSolar agregue un nuevo vector y en A12 = 4, B12= 3, C12 = 0. Oprima XYZ. Ponga otros valores y observe los cambios en el sistema de coordenadas. </v>
      </c>
    </row>
    <row r="291" spans="27:32" x14ac:dyDescent="0.2">
      <c r="AA291" t="s">
        <v>233</v>
      </c>
      <c r="AB291" t="str">
        <f>HLOOKUP($Q$2,$AD$4:$AK$800,AD291)</f>
        <v>This cell is used by the code when working in FIELD MODE to cycle through all the coordinate values as variables. In other words, this cell is equivalent to the variable z when working with a function f(z). As an example of using this cell, see the ELECTRICAL DIPOLE, CYLINDRICAL SYMMETRY and SPHERICAL SYMMETRY projects. For scalar fields, see the FUNCTIONS project.</v>
      </c>
      <c r="AD291">
        <v>288</v>
      </c>
      <c r="AE291" t="str">
        <f>$AE$228</f>
        <v>This cell is used by the code when working in FIELD MODE to cycle through all the coordinate values as variables. In other words, this cell is equivalent to the variable z when working with a function f(z). As an example of using this cell, see the ELECTRICAL DIPOLE, CYLINDRICAL SYMMETRY and SPHERICAL SYMMETRY projects. For scalar fields, see the FUNCTIONS project.</v>
      </c>
      <c r="AF291" t="str">
        <f>$AF$228</f>
        <v>Esta celda es usada por el código cuando se trabaja en MODO CAMPO para recorrer todos los valores de las coordenadas como variables. Dicho de otra manera, esta celda equivale a la variable z cuando se trabaja con una función f(z). Como ejemplo de uso de esta celda ver los proyectos DIPOLO ELÉCTRICO, SIMETRÍA CILÍNDRICA y SIMETRÍA ESFÉRICA. Para campos escalares ver el proyecto FUNCIONES.</v>
      </c>
    </row>
    <row r="292" spans="27:32" x14ac:dyDescent="0.2">
      <c r="AA292" t="s">
        <v>236</v>
      </c>
      <c r="AB292" t="str">
        <f>HLOOKUP($Q$2,$AD$4:$AK$800,AD292)</f>
        <v>In this cell the value of the coordinate on the Z axis of the vector is entered. When working in FIELD MODE, the function corresponding to the Z axis of the vector field is entered here. As an example of use of this cell see the ELECTRICAL DIPOLE, CYLINDRICAL SYMMETRY and SPHERICAL SYMMETRY projects. For scalar fields see the FUNCTIONS project.</v>
      </c>
      <c r="AD292">
        <v>289</v>
      </c>
      <c r="AE292" t="str">
        <f>$AE$229</f>
        <v>In this cell the value of the coordinate on the Z axis of the vector is entered. When working in FIELD MODE, the function corresponding to the Z axis of the vector field is entered here. As an example of use of this cell see the ELECTRICAL DIPOLE, CYLINDRICAL SYMMETRY and SPHERICAL SYMMETRY projects. For scalar fields see the FUNCTIONS project.</v>
      </c>
      <c r="AF292" t="str">
        <f>$AF$229</f>
        <v>En esta celda se introduce el valor de la coordenada en el eje Z del vector. Cuando se trabaja en MODO CAMPO, se introduce aquí la función correspondiente al eje Z del campo vectorial. Como ejemplo de uso de esta celda ver los proyectos  DIPOLO ELÉCTRICO, SIMETRÍA CILÍNDRICA y SIMETRÍA ESFÉRICA. Para campos escalares ver el proyecto FUNCIONES.</v>
      </c>
    </row>
    <row r="293" spans="27:32" x14ac:dyDescent="0.2">
      <c r="AA293" t="s">
        <v>239</v>
      </c>
      <c r="AB293" t="str">
        <f>HLOOKUP($Q$2,$AD$4:$AK$800,AD293)</f>
        <v>Vector HISTORY cell. Possible values 1 and 2. With the value 2 the vector will leave a trace of its path in the spreadsheet, which is visible when the vector changes position. When the value 1 is placed after having had the value 2, the old vectors will disappear from gradually when some action is executed._x000D__x000D_To see how it works, in a new ScienSolar sheet add a vector (by pressing the +Vector button) and enter the number 2 in cell C13=2. Press the rotate button &gt;&gt;C. Now change the initial positions of the vector and its coordinates and press &gt;&gt;C again. You will notice that a set of vectors appears in the coordinate system. Then enter C13=1 and press &gt;&gt;C to see the vectors gradually disappear. Press &gt;&gt;C again for their complete disappearance. If you want the vectors to disappear instantly, you must enter a value greater than 5000 in cell A8, for example A8=6000, and press any refresh button.</v>
      </c>
      <c r="AD293">
        <v>290</v>
      </c>
      <c r="AE293" t="str">
        <f>$AE$230</f>
        <v>Vector HISTORY cell. Possible values 1 and 2. With the value 2 the vector will leave a trace of its path in the spreadsheet, which is visible when the vector changes position. When the value 1 is placed after having had the value 2, the old vectors will disappear from gradually when some action is executed._x000D__x000D_To see how it works, in a new ScienSolar sheet add a vector (by pressing the +Vector button) and enter the number 2 in cell C13=2. Press the rotate button &gt;&gt;C. Now change the initial positions of the vector and its coordinates and press &gt;&gt;C again. You will notice that a set of vectors appears in the coordinate system. Then enter C13=1 and press &gt;&gt;C to see the vectors gradually disappear. Press &gt;&gt;C again for their complete disappearance. If you want the vectors to disappear instantly, you must enter a value greater than 5000 in cell A8, for example A8=6000, and press any refresh button.</v>
      </c>
      <c r="AF293" t="str">
        <f>$AF$230</f>
        <v xml:space="preserve">Celda de HISTORIA del vector. Posibles valores 1 y 2.  Con el valor 2 el vector dejará huella de su recorrido en la hoja de cálculo, lo cual es visible cuando el vector cambia de posición. Cuando se coloca el valor 1 después de haber tenido el valor 2, los vectores antiguos irán desapareciendo de forma paulatina cuando se ejecuta alguna acción. _x000D__x000D_Para ver como trabaja, en una hoja nueva de ScienSolar agregue un vector (oprimiendo el botón +Vector) e ingrese el número 2 en la celda C13=2. Oprima el botón de rotación &gt;&gt;C. Ahora cambie las posiciones iniciales del vector y sus coordenadas y vuelva a oprimir &gt;&gt;C.  Observará que aparece en el sistema de coordenadas un abanico de vectores. Posteriormente ingrese  C13=1 y oprima &gt;&gt;C para ver desaparecer los vectores paulatinamente. Oprima de nuevo &gt;&gt;C para su total desaparición.  Si desea que los vectores desaparezcan instantáneamente, debe colocar en la celda A8 un valor mayor a 5000, por ejemplo A8=6000 y oprimir cualquier botón de actualización. </v>
      </c>
    </row>
    <row r="294" spans="27:32" x14ac:dyDescent="0.2">
      <c r="AA294" t="s">
        <v>242</v>
      </c>
      <c r="AB294" t="str">
        <f>HLOOKUP($Q$2,$AD$4:$AK$800,AD294)</f>
        <v>Vector thickness. The default value is 1. For thicker vectors enter a value greater than 1. Here, as in other configuration cells, dynamic formulas can be entered that change the appearance of the vectors depending on certain particular parameters for each project.</v>
      </c>
      <c r="AD294">
        <v>291</v>
      </c>
      <c r="AE294" t="str">
        <f>$AE$231</f>
        <v>Vector thickness. The default value is 1. For thicker vectors enter a value greater than 1. Here, as in other configuration cells, dynamic formulas can be entered that change the appearance of the vectors depending on certain particular parameters for each project.</v>
      </c>
      <c r="AF294" t="str">
        <f>$AF$231</f>
        <v xml:space="preserve">Grosor del vector. El valor predeterminado es 1. Para vectores más gruesos coloque un valor mayor que 1. Aquí, como en otras celdas de configuración, se pueden ingresar fórmulas dinámicas que cambian la apariencia de los vectores dependiendo de ciertos parámetros particulares para cada proyecto. </v>
      </c>
    </row>
    <row r="295" spans="27:32" x14ac:dyDescent="0.2">
      <c r="AA295" t="s">
        <v>245</v>
      </c>
      <c r="AB295" t="str">
        <f>HLOOKUP($Q$2,$AD$4:$AK$800,AD295)</f>
        <v xml:space="preserve">Color of the vector or shape that is loaded into the coordinate system. Change the background color of this cell with the respective Excel tool and will change the color of the vector (after pressing XYZ). This cell is free to use with data or formulas. To see how it works, in a new ScienSolar sheet press +Vector, then change the color of this cell and press XYZ. Change the shape code to 114 (instead of 183), press YZ, change the color and press YZ again. </v>
      </c>
      <c r="AD295">
        <v>292</v>
      </c>
      <c r="AE295" t="str">
        <f>$AE$223</f>
        <v xml:space="preserve">Color of the vector or shape that is loaded into the coordinate system. Change the background color of this cell with the respective Excel tool and will change the color of the vector (after pressing XYZ). This cell is free to use with data or formulas. To see how it works, in a new ScienSolar sheet press +Vector, then change the color of this cell and press XYZ. Change the shape code to 114 (instead of 183), press YZ, change the color and press YZ again. </v>
      </c>
      <c r="AF295" t="str">
        <f>$AF$223</f>
        <v>Color del vector o de la forma que se carga al sistema de coordenadas. Cambie el color de fondo de esta celda con la respectiva herramienta de Excel  y cambiará el color del vector (luego de oprimir XYZ). Esta celda está libre para utilizarla con datos o fórmulas. Para ver cómo funciona,  en una nueva hoja de ScienSolar oprima +Vector, luego cambie el color de esta celda y oprima XYZ. Cambie el código de la forma a 114 (en lugar de 183), oprima YZ, cambie el color y vuelva a oprimir YZ.</v>
      </c>
    </row>
    <row r="296" spans="27:32" x14ac:dyDescent="0.2">
      <c r="AA296" t="s">
        <v>248</v>
      </c>
      <c r="AB296" t="str">
        <f>HLOOKUP($Q$2,$AD$4:$AK$800,AD296)</f>
        <v>FIELD MODE. Possible values:_x000D_o --&gt; Cartesian Coordinates,_x000D_c --&gt; Cylindrical Coordinates,_x000D_s --&gt; Spherical Coordinates,_x000D_empty --&gt; Field Mode disabled._x000D__x000D_Once one of these values has been entered (in lower case and without the equal sign), pressing XYZ will display a string of values explained below. Only the values in brackets should be modified according to the units of the coordinates:_x000D__x000D_CARTESIAN COORDINATES:_x000D_o[5]x=[40;40] --&gt; Step and range in x,_x000D_o2[20]y=[-100;100] --&gt; Step and range in y,_x000D_o3[40]z=[0;100] --&gt; Step and range in z,_x000D__x000D_CYLINDRICAL COORDINATES:_x000D_c[5]rho=[40;40] --&gt; Step and range in rho,_x000D_c2[20]phi=[0;360] --&gt; Step and range in phi,_x000D_c3[40]z=[0;100] --&gt; Step and range in z,_x000D__x000D_SPHERICAL COORDINATES:_x000D_s[5]r=[40;40] --&gt; Step and range in r,_x000D_s2[20]phi=[180;270] --&gt; Step and range in phi,_x000D_s3[5]theta=[0;90] --&gt; Step and range in theta,_x000D__x000D_color=[80] --&gt; Approximate magnitude of the largest vector to distribute the color gradient in all vectors according to their magnitude,_x000D_[cart.]=[0;0;0] --&gt; Shift of the origin of coordinates with respect to the original,_x000D_tfactor=0.001386089s --&gt; Information on the time of placing a single vector on the sheet. No action required._x000D__x000D_PROPERTIES: This cell can only be used to clone the vectors in three-dimensional space. When it is empty, its function is inactive. The distribution of the vectors can be done in three ways: through Cartesian, cylindrical or spherical coordinates. Examples of application of this function can be seen in vector 5 of the ELECTRIC DIPOLE project and a more advanced form of its use in projectsELECTRIC DIPOLE, PLANE SYMMETRY, CYLINDRICAL SYMMETRY and SPHERICAL SYMMETRY.</v>
      </c>
      <c r="AD296">
        <v>293</v>
      </c>
      <c r="AE296" t="str">
        <f>$AE$224</f>
        <v>FIELD MODE. Possible values:_x000D_o --&gt; Cartesian Coordinates,_x000D_c --&gt; Cylindrical Coordinates,_x000D_s --&gt; Spherical Coordinates,_x000D_empty --&gt; Field Mode disabled._x000D__x000D_Once one of these values has been entered (in lower case and without the equal sign), pressing XYZ will display a string of values explained below. Only the values in brackets should be modified according to the units of the coordinates:_x000D__x000D_CARTESIAN COORDINATES:_x000D_o[5]x=[40;40] --&gt; Step and range in x,_x000D_o2[20]y=[-100;100] --&gt; Step and range in y,_x000D_o3[40]z=[0;100] --&gt; Step and range in z,_x000D__x000D_CYLINDRICAL COORDINATES:_x000D_c[5]rho=[40;40] --&gt; Step and range in rho,_x000D_c2[20]phi=[0;360] --&gt; Step and range in phi,_x000D_c3[40]z=[0;100] --&gt; Step and range in z,_x000D__x000D_SPHERICAL COORDINATES:_x000D_s[5]r=[40;40] --&gt; Step and range in r,_x000D_s2[20]phi=[180;270] --&gt; Step and range in phi,_x000D_s3[5]theta=[0;90] --&gt; Step and range in theta,_x000D__x000D_color=[80] --&gt; Approximate magnitude of the largest vector to distribute the color gradient in all vectors according to their magnitude,_x000D_[cart.]=[0;0;0] --&gt; Shift of the origin of coordinates with respect to the original,_x000D_tfactor=0.001386089s --&gt; Information on the time of placing a single vector on the sheet. No action required._x000D__x000D_PROPERTIES: This cell can only be used to clone the vectors in three-dimensional space. When it is empty, its function is inactive. The distribution of the vectors can be done in three ways: through Cartesian, cylindrical or spherical coordinates. Examples of application of this function can be seen in vector 5 of the ELECTRIC DIPOLE project and a more advanced form of its use in projectsELECTRIC DIPOLE, PLANE SYMMETRY, CYLINDRICAL SYMMETRY and SPHERICAL SYMMETRY.</v>
      </c>
      <c r="AF296" t="str">
        <f>$AF$224</f>
        <v>MODO CAMPO. Posibles valores:_x000D_o --&gt; coordenadas cartesianas,_x000D_c --&gt; coordenadas cilíndricas,_x000D_s --&gt; coordenadas esféricas,_x000D_vacía --&gt; modo campo deshabilitado._x000D__x000D_Una vez ingresado uno de estos valores (en minúscula y sin el signo igual), oprimiendo XYZ aparecerá una cadena de valores que se explica a continuación. Se deben modificar únicamente los valores entre corchetes de acuerdo a las unidades de las coordenadas:_x000D__x000D_COORDENADAS CARTESIANAS:_x000D_o[5]x=[40;40] --&gt; paso y rango en x,_x000D_o2[20]y=[-100;100] --&gt; paso y rango en y,_x000D_o3[40]z=[0;100] --&gt; paso y rango en z,_x000D__x000D_COORDENADAS CILÍNDRICAS:_x000D_c[5]rho=[40;40] --&gt; paso y rango en rho,_x000D_c2[20]phi=[0;360] --&gt; paso y rango en phi,_x000D_c3[40]z=[0;100] --&gt; paso y rango en z,_x000D__x000D_COORDENADAS ESFÉRICAS:_x000D_s[5]r=[40;40] --&gt; paso y rango en r,_x000D_s2[20]phi=[180;270] --&gt; paso y rango en phi,_x000D_s3[5]theta=[0;90] --&gt; paso y rango en theta,_x000D__x000D_color=[80] --&gt; magnitud aproximada del mayor vector para distribuir el gradiente de color en todos los vectores de acuerdo a su magnitud,_x000D_[cart.]=[0;0;0] --&gt; corrimiento del origen de coordenadas con respecto al original,_x000D_tfactor=0,001386089s --&gt; información del tiempo de puesta de un solo vector en la hoja. No requiere ninguna acción._x000D__x000D_PROPIEDADES: Esta celda sólo puede ser usada para clonar los vectores en el espacio tridimensional. Cuando está vacía, su función se inactiva. La distribución de los vectores se puede hacer de tres maneras: a través de coordenadas cartesianas, cilíndricas o esféricas. Ejemplos de aplicación de esta función se pueden ver en en el vector 5 del proyecto DIPOLO ELÉCTRICO y una forma más avanzada de su uso en los proyectos DIPOLO ELÉCTRICO, SIMETRÍA PLANA, SIMETRÍA CILÍNDRICA y SIMETRÍA ESFÉRICA.</v>
      </c>
    </row>
    <row r="297" spans="27:32" x14ac:dyDescent="0.2">
      <c r="AA297" t="s">
        <v>251</v>
      </c>
      <c r="AB297" t="str">
        <f>HLOOKUP($Q$2,$AD$4:$AK$800,AD297)</f>
        <v>Transparency of the current vector. Positive decimal values are accepted from 0 to 1, where with the value 0 it has no transparency and with the value 1 its transparency is total. This function is useful for example for auxiliary vectors that are not directly part of the problem.</v>
      </c>
      <c r="AD297">
        <v>294</v>
      </c>
      <c r="AE297" t="str">
        <f>$AE$225</f>
        <v>Transparency of the current vector. Positive decimal values are accepted from 0 to 1, where with the value 0 it has no transparency and with the value 1 its transparency is total. This function is useful for example for auxiliary vectors that are not directly part of the problem.</v>
      </c>
      <c r="AF297" t="str">
        <f>$AF$225</f>
        <v xml:space="preserve">Transparencia del vector en curso. Se aceptan valores positivos decimales desde 0 hasta 1, en donde con el valor 0 no tiene transparencia y con el valor 1 su transparencia es total. Esta función es útil por ejemplo para vectores auxiliares que no hacen parte del problema directamente.  </v>
      </c>
    </row>
    <row r="298" spans="27:32" x14ac:dyDescent="0.2">
      <c r="AA298" t="s">
        <v>254</v>
      </c>
      <c r="AB298" t="str">
        <f>HLOOKUP($Q$2,$AD$4:$AK$800,AD298)</f>
        <v>Free cell for form 183. For form -114, the indicator position column is entered here (the row is entered in the adjacent cell on the left.) _x000D__x000D_To see how it works, open a new ScienSolar sheet, press +Vector to add a new vector and place (with minus sign) B7=-114, B9=6,C9= 3 for the purpose of targeting the color cell.Press YZ to see the result. Change the values B9=8,C9=5 to point to the cell in row 8, column 5. Set B10=3 to C10=3 to change the position of the square.Set B12=8, C12=3 to resize. Press YZ to see the result. Press &gt;&gt;C to rotate the coordinate system. Remove the minus sign at B7, B7=114. Press &gt;&gt;C again to see the difference.</v>
      </c>
      <c r="AD298">
        <v>295</v>
      </c>
      <c r="AE298" t="str">
        <f>$AE$226</f>
        <v>Free cell for form 183. For form -114, the indicator position column is entered here (the row is entered in the adjacent cell on the left.) _x000D__x000D_To see how it works, open a new ScienSolar sheet, press +Vector to add a new vector and place (with minus sign) B7=-114, B9=6,C9= 3 for the purpose of targeting the color cell.Press YZ to see the result. Change the values B9=8,C9=5 to point to the cell in row 8, column 5. Set B10=3 to C10=3 to change the position of the square.Set B12=8, C12=3 to resize. Press YZ to see the result. Press &gt;&gt;C to rotate the coordinate system. Remove the minus sign at B7, B7=114. Press &gt;&gt;C again to see the difference.</v>
      </c>
      <c r="AF298" t="str">
        <f>$AF$226</f>
        <v>Celda libre para la forma 183. Para la forma -114 se introduce aquí la columna de posición del indicador (la fila se introduce en la celda contigua de la izquierda.) _x000D__x000D_Para ver cómo funciona, abra una nueva hoja de ScienSolar, oprima +Vector para agregar un nuevo vector y coloque (con signo menos) B7=-114, B9=6,C9=3 con el propósito de apuntar a la celda del color. Oprima YZ para ver el resultado. Cambie los valores B9=8,C9=5 para apuntar a la celda que se encuentra en la fila 8, columna 5. Coloque B10=3 C10=3 para cambiar la posición del cuadrado. Coloque B12=8, C12=3 para cambiar su tamaño. Oprima YZ para ver el resultado. Oprima &gt;&gt;C para rotar el sistema de coordenadas. Quite el signo menos en B7, B7=114. Oprima de nuevo &gt;&gt;C para ver la diferencia.</v>
      </c>
    </row>
    <row r="299" spans="27:32" x14ac:dyDescent="0.2">
      <c r="AA299" t="s">
        <v>257</v>
      </c>
      <c r="AB299" t="str">
        <f>HLOOKUP($Q$2,$AD$4:$AK$800,AD299)</f>
        <v>This cell indicates the initial position on the Z axis of the current vector. When working in FIELD mode, the code automatically deletes the data in this cell and replaces it with =C11, since in C11 will traverse (in field mode) all the initial values of the Z coordinates of the given field vectors for a range in the Z coordinate. In this cell the user can enter constant values as well as functions._x000D__x000D_ To see how it works, in a new ScienSolar sheet add a new vector and set A12 = 4, B12 = 3, C12 = 0. Press the XYZ button. Enter other values and observe the changes in the coordinate system.</v>
      </c>
      <c r="AD299">
        <v>296</v>
      </c>
      <c r="AE299" t="str">
        <f>$AE$227</f>
        <v>This cell indicates the initial position on the Z axis of the current vector. When working in FIELD mode, the code automatically deletes the data in this cell and replaces it with =C11, since in C11 will traverse (in field mode) all the initial values of the Z coordinates of the given field vectors for a range in the Z coordinate. In this cell the user can enter constant values as well as functions._x000D__x000D_ To see how it works, in a new ScienSolar sheet add a new vector and set A12 = 4, B12 = 3, C12 = 0. Press the XYZ button. Enter other values and observe the changes in the coordinate system.</v>
      </c>
      <c r="AF299" t="str">
        <f>$AF$227</f>
        <v xml:space="preserve">Esta celda indica la posición inicial en el eje Z del vector actual. Cuando se trabaja en modo CAMPO, el código automáticamente borra los datos de esta celda y los reemplaza por =C11, puesto que en C11 se recorrerán (en modo campo) todos los valores iniciales de las coordenadas en Z de los vectores del campo dados para un rango en la coordenada Z. En esta celda el usuario puede introducir valores constantes así como funciones._x000D__x000D_ Para ver como funciona, en una nueva hoja de ScienSolar agregue un nuevo vector y en A12 = 4, B12= 3, C12 = 0. Oprima XYZ. Ponga otros valores y observe los cambios en el sistema de coordenadas. </v>
      </c>
    </row>
    <row r="300" spans="27:32" x14ac:dyDescent="0.2">
      <c r="AA300" t="s">
        <v>260</v>
      </c>
      <c r="AB300" t="str">
        <f>HLOOKUP($Q$2,$AD$4:$AK$800,AD300)</f>
        <v>This cell is used by the code when working in FIELD MODE to cycle through all the coordinate values as variables. In other words, this cell is equivalent to the variable z when working with a function f(z). As an example of using this cell, see the ELECTRICAL DIPOLE, CYLINDRICAL SYMMETRY and SPHERICAL SYMMETRY projects. For scalar fields, see the FUNCTIONS project.</v>
      </c>
      <c r="AD300">
        <v>297</v>
      </c>
      <c r="AE300" t="str">
        <f>$AE$228</f>
        <v>This cell is used by the code when working in FIELD MODE to cycle through all the coordinate values as variables. In other words, this cell is equivalent to the variable z when working with a function f(z). As an example of using this cell, see the ELECTRICAL DIPOLE, CYLINDRICAL SYMMETRY and SPHERICAL SYMMETRY projects. For scalar fields, see the FUNCTIONS project.</v>
      </c>
      <c r="AF300" t="str">
        <f>$AF$228</f>
        <v>Esta celda es usada por el código cuando se trabaja en MODO CAMPO para recorrer todos los valores de las coordenadas como variables. Dicho de otra manera, esta celda equivale a la variable z cuando se trabaja con una función f(z). Como ejemplo de uso de esta celda ver los proyectos DIPOLO ELÉCTRICO, SIMETRÍA CILÍNDRICA y SIMETRÍA ESFÉRICA. Para campos escalares ver el proyecto FUNCIONES.</v>
      </c>
    </row>
    <row r="301" spans="27:32" x14ac:dyDescent="0.2">
      <c r="AA301" t="s">
        <v>263</v>
      </c>
      <c r="AB301" t="str">
        <f>HLOOKUP($Q$2,$AD$4:$AK$800,AD301)</f>
        <v>In this cell the value of the coordinate on the Z axis of the vector is entered. When working in FIELD MODE, the function corresponding to the Z axis of the vector field is entered here. As an example of use of this cell see the ELECTRICAL DIPOLE, CYLINDRICAL SYMMETRY and SPHERICAL SYMMETRY projects. For scalar fields see the FUNCTIONS project.</v>
      </c>
      <c r="AD301">
        <v>298</v>
      </c>
      <c r="AE301" t="str">
        <f>$AE$229</f>
        <v>In this cell the value of the coordinate on the Z axis of the vector is entered. When working in FIELD MODE, the function corresponding to the Z axis of the vector field is entered here. As an example of use of this cell see the ELECTRICAL DIPOLE, CYLINDRICAL SYMMETRY and SPHERICAL SYMMETRY projects. For scalar fields see the FUNCTIONS project.</v>
      </c>
      <c r="AF301" t="str">
        <f>$AF$229</f>
        <v>En esta celda se introduce el valor de la coordenada en el eje Z del vector. Cuando se trabaja en MODO CAMPO, se introduce aquí la función correspondiente al eje Z del campo vectorial. Como ejemplo de uso de esta celda ver los proyectos  DIPOLO ELÉCTRICO, SIMETRÍA CILÍNDRICA y SIMETRÍA ESFÉRICA. Para campos escalares ver el proyecto FUNCIONES.</v>
      </c>
    </row>
    <row r="302" spans="27:32" x14ac:dyDescent="0.2">
      <c r="AA302" t="s">
        <v>266</v>
      </c>
      <c r="AB302" t="str">
        <f>HLOOKUP($Q$2,$AD$4:$AK$800,AD302)</f>
        <v>Vector HISTORY cell. Possible values 1 and 2. With the value 2 the vector will leave a trace of its path in the spreadsheet, which is visible when the vector changes position. When the value 1 is placed after having had the value 2, the old vectors will disappear from gradually when some action is executed._x000D__x000D_To see how it works, in a new ScienSolar sheet add a vector (by pressing the +Vector button) and enter the number 2 in cell C13=2. Press the rotate button &gt;&gt;C. Now change the initial positions of the vector and its coordinates and press &gt;&gt;C again. You will notice that a set of vectors appears in the coordinate system. Then enter C13=1 and press &gt;&gt;C to see the vectors gradually disappear. Press &gt;&gt;C again for their complete disappearance. If you want the vectors to disappear instantly, you must enter a value greater than 5000 in cell A8, for example A8=6000, and press any refresh button.</v>
      </c>
      <c r="AD302">
        <v>299</v>
      </c>
      <c r="AE302" t="str">
        <f>$AE$230</f>
        <v>Vector HISTORY cell. Possible values 1 and 2. With the value 2 the vector will leave a trace of its path in the spreadsheet, which is visible when the vector changes position. When the value 1 is placed after having had the value 2, the old vectors will disappear from gradually when some action is executed._x000D__x000D_To see how it works, in a new ScienSolar sheet add a vector (by pressing the +Vector button) and enter the number 2 in cell C13=2. Press the rotate button &gt;&gt;C. Now change the initial positions of the vector and its coordinates and press &gt;&gt;C again. You will notice that a set of vectors appears in the coordinate system. Then enter C13=1 and press &gt;&gt;C to see the vectors gradually disappear. Press &gt;&gt;C again for their complete disappearance. If you want the vectors to disappear instantly, you must enter a value greater than 5000 in cell A8, for example A8=6000, and press any refresh button.</v>
      </c>
      <c r="AF302" t="str">
        <f>$AF$230</f>
        <v xml:space="preserve">Celda de HISTORIA del vector. Posibles valores 1 y 2.  Con el valor 2 el vector dejará huella de su recorrido en la hoja de cálculo, lo cual es visible cuando el vector cambia de posición. Cuando se coloca el valor 1 después de haber tenido el valor 2, los vectores antiguos irán desapareciendo de forma paulatina cuando se ejecuta alguna acción. _x000D__x000D_Para ver como trabaja, en una hoja nueva de ScienSolar agregue un vector (oprimiendo el botón +Vector) e ingrese el número 2 en la celda C13=2. Oprima el botón de rotación &gt;&gt;C. Ahora cambie las posiciones iniciales del vector y sus coordenadas y vuelva a oprimir &gt;&gt;C.  Observará que aparece en el sistema de coordenadas un abanico de vectores. Posteriormente ingrese  C13=1 y oprima &gt;&gt;C para ver desaparecer los vectores paulatinamente. Oprima de nuevo &gt;&gt;C para su total desaparición.  Si desea que los vectores desaparezcan instantáneamente, debe colocar en la celda A8 un valor mayor a 5000, por ejemplo A8=6000 y oprimir cualquier botón de actualización. </v>
      </c>
    </row>
    <row r="303" spans="27:32" x14ac:dyDescent="0.2">
      <c r="AA303" t="s">
        <v>269</v>
      </c>
      <c r="AB303" t="str">
        <f>HLOOKUP($Q$2,$AD$4:$AK$800,AD303)</f>
        <v>Vector thickness. The default value is 1. For thicker vectors enter a value greater than 1. Here, as in other configuration cells, dynamic formulas can be entered that change the appearance of the vectors depending on certain particular parameters for each project.</v>
      </c>
      <c r="AD303">
        <v>300</v>
      </c>
      <c r="AE303" t="str">
        <f>$AE$231</f>
        <v>Vector thickness. The default value is 1. For thicker vectors enter a value greater than 1. Here, as in other configuration cells, dynamic formulas can be entered that change the appearance of the vectors depending on certain particular parameters for each project.</v>
      </c>
      <c r="AF303" t="str">
        <f>$AF$231</f>
        <v xml:space="preserve">Grosor del vector. El valor predeterminado es 1. Para vectores más gruesos coloque un valor mayor que 1. Aquí, como en otras celdas de configuración, se pueden ingresar fórmulas dinámicas que cambian la apariencia de los vectores dependiendo de ciertos parámetros particulares para cada proyecto. </v>
      </c>
    </row>
    <row r="304" spans="27:32" x14ac:dyDescent="0.2">
      <c r="AA304" t="s">
        <v>272</v>
      </c>
      <c r="AB304" t="str">
        <f>HLOOKUP($Q$2,$AD$4:$AK$800,AD304)</f>
        <v xml:space="preserve">Color of the vector or shape that is loaded into the coordinate system. Change the background color of this cell with the respective Excel tool and will change the color of the vector (after pressing XYZ). This cell is free to use with data or formulas. To see how it works, in a new ScienSolar sheet press +Vector, then change the color of this cell and press XYZ. Change the shape code to 114 (instead of 183), press YZ, change the color and press YZ again. </v>
      </c>
      <c r="AD304">
        <v>301</v>
      </c>
      <c r="AE304" t="str">
        <f>$AE$223</f>
        <v xml:space="preserve">Color of the vector or shape that is loaded into the coordinate system. Change the background color of this cell with the respective Excel tool and will change the color of the vector (after pressing XYZ). This cell is free to use with data or formulas. To see how it works, in a new ScienSolar sheet press +Vector, then change the color of this cell and press XYZ. Change the shape code to 114 (instead of 183), press YZ, change the color and press YZ again. </v>
      </c>
      <c r="AF304" t="str">
        <f>$AF$223</f>
        <v>Color del vector o de la forma que se carga al sistema de coordenadas. Cambie el color de fondo de esta celda con la respectiva herramienta de Excel  y cambiará el color del vector (luego de oprimir XYZ). Esta celda está libre para utilizarla con datos o fórmulas. Para ver cómo funciona,  en una nueva hoja de ScienSolar oprima +Vector, luego cambie el color de esta celda y oprima XYZ. Cambie el código de la forma a 114 (en lugar de 183), oprima YZ, cambie el color y vuelva a oprimir YZ.</v>
      </c>
    </row>
    <row r="305" spans="27:32" x14ac:dyDescent="0.2">
      <c r="AA305" t="s">
        <v>275</v>
      </c>
      <c r="AB305" t="str">
        <f>HLOOKUP($Q$2,$AD$4:$AK$800,AD305)</f>
        <v>FIELD MODE. Possible values:_x000D_o --&gt; Cartesian Coordinates,_x000D_c --&gt; Cylindrical Coordinates,_x000D_s --&gt; Spherical Coordinates,_x000D_empty --&gt; Field Mode disabled._x000D__x000D_Once one of these values has been entered (in lower case and without the equal sign), pressing XYZ will display a string of values explained below. Only the values in brackets should be modified according to the units of the coordinates:_x000D__x000D_CARTESIAN COORDINATES:_x000D_o[5]x=[40;40] --&gt; Step and range in x,_x000D_o2[20]y=[-100;100] --&gt; Step and range in y,_x000D_o3[40]z=[0;100] --&gt; Step and range in z,_x000D__x000D_CYLINDRICAL COORDINATES:_x000D_c[5]rho=[40;40] --&gt; Step and range in rho,_x000D_c2[20]phi=[0;360] --&gt; Step and range in phi,_x000D_c3[40]z=[0;100] --&gt; Step and range in z,_x000D__x000D_SPHERICAL COORDINATES:_x000D_s[5]r=[40;40] --&gt; Step and range in r,_x000D_s2[20]phi=[180;270] --&gt; Step and range in phi,_x000D_s3[5]theta=[0;90] --&gt; Step and range in theta,_x000D__x000D_color=[80] --&gt; Approximate magnitude of the largest vector to distribute the color gradient in all vectors according to their magnitude,_x000D_[cart.]=[0;0;0] --&gt; Shift of the origin of coordinates with respect to the original,_x000D_tfactor=0.001386089s --&gt; Information on the time of placing a single vector on the sheet. No action required._x000D__x000D_PROPERTIES: This cell can only be used to clone the vectors in three-dimensional space. When it is empty, its function is inactive. The distribution of the vectors can be done in three ways: through Cartesian, cylindrical or spherical coordinates. Examples of application of this function can be seen in vector 5 of the ELECTRIC DIPOLE project and a more advanced form of its use in projectsELECTRIC DIPOLE, PLANE SYMMETRY, CYLINDRICAL SYMMETRY and SPHERICAL SYMMETRY.</v>
      </c>
      <c r="AD305">
        <v>302</v>
      </c>
      <c r="AE305" t="str">
        <f>$AE$224</f>
        <v>FIELD MODE. Possible values:_x000D_o --&gt; Cartesian Coordinates,_x000D_c --&gt; Cylindrical Coordinates,_x000D_s --&gt; Spherical Coordinates,_x000D_empty --&gt; Field Mode disabled._x000D__x000D_Once one of these values has been entered (in lower case and without the equal sign), pressing XYZ will display a string of values explained below. Only the values in brackets should be modified according to the units of the coordinates:_x000D__x000D_CARTESIAN COORDINATES:_x000D_o[5]x=[40;40] --&gt; Step and range in x,_x000D_o2[20]y=[-100;100] --&gt; Step and range in y,_x000D_o3[40]z=[0;100] --&gt; Step and range in z,_x000D__x000D_CYLINDRICAL COORDINATES:_x000D_c[5]rho=[40;40] --&gt; Step and range in rho,_x000D_c2[20]phi=[0;360] --&gt; Step and range in phi,_x000D_c3[40]z=[0;100] --&gt; Step and range in z,_x000D__x000D_SPHERICAL COORDINATES:_x000D_s[5]r=[40;40] --&gt; Step and range in r,_x000D_s2[20]phi=[180;270] --&gt; Step and range in phi,_x000D_s3[5]theta=[0;90] --&gt; Step and range in theta,_x000D__x000D_color=[80] --&gt; Approximate magnitude of the largest vector to distribute the color gradient in all vectors according to their magnitude,_x000D_[cart.]=[0;0;0] --&gt; Shift of the origin of coordinates with respect to the original,_x000D_tfactor=0.001386089s --&gt; Information on the time of placing a single vector on the sheet. No action required._x000D__x000D_PROPERTIES: This cell can only be used to clone the vectors in three-dimensional space. When it is empty, its function is inactive. The distribution of the vectors can be done in three ways: through Cartesian, cylindrical or spherical coordinates. Examples of application of this function can be seen in vector 5 of the ELECTRIC DIPOLE project and a more advanced form of its use in projectsELECTRIC DIPOLE, PLANE SYMMETRY, CYLINDRICAL SYMMETRY and SPHERICAL SYMMETRY.</v>
      </c>
      <c r="AF305" t="str">
        <f>$AF$224</f>
        <v>MODO CAMPO. Posibles valores:_x000D_o --&gt; coordenadas cartesianas,_x000D_c --&gt; coordenadas cilíndricas,_x000D_s --&gt; coordenadas esféricas,_x000D_vacía --&gt; modo campo deshabilitado._x000D__x000D_Una vez ingresado uno de estos valores (en minúscula y sin el signo igual), oprimiendo XYZ aparecerá una cadena de valores que se explica a continuación. Se deben modificar únicamente los valores entre corchetes de acuerdo a las unidades de las coordenadas:_x000D__x000D_COORDENADAS CARTESIANAS:_x000D_o[5]x=[40;40] --&gt; paso y rango en x,_x000D_o2[20]y=[-100;100] --&gt; paso y rango en y,_x000D_o3[40]z=[0;100] --&gt; paso y rango en z,_x000D__x000D_COORDENADAS CILÍNDRICAS:_x000D_c[5]rho=[40;40] --&gt; paso y rango en rho,_x000D_c2[20]phi=[0;360] --&gt; paso y rango en phi,_x000D_c3[40]z=[0;100] --&gt; paso y rango en z,_x000D__x000D_COORDENADAS ESFÉRICAS:_x000D_s[5]r=[40;40] --&gt; paso y rango en r,_x000D_s2[20]phi=[180;270] --&gt; paso y rango en phi,_x000D_s3[5]theta=[0;90] --&gt; paso y rango en theta,_x000D__x000D_color=[80] --&gt; magnitud aproximada del mayor vector para distribuir el gradiente de color en todos los vectores de acuerdo a su magnitud,_x000D_[cart.]=[0;0;0] --&gt; corrimiento del origen de coordenadas con respecto al original,_x000D_tfactor=0,001386089s --&gt; información del tiempo de puesta de un solo vector en la hoja. No requiere ninguna acción._x000D__x000D_PROPIEDADES: Esta celda sólo puede ser usada para clonar los vectores en el espacio tridimensional. Cuando está vacía, su función se inactiva. La distribución de los vectores se puede hacer de tres maneras: a través de coordenadas cartesianas, cilíndricas o esféricas. Ejemplos de aplicación de esta función se pueden ver en en el vector 5 del proyecto DIPOLO ELÉCTRICO y una forma más avanzada de su uso en los proyectos DIPOLO ELÉCTRICO, SIMETRÍA PLANA, SIMETRÍA CILÍNDRICA y SIMETRÍA ESFÉRICA.</v>
      </c>
    </row>
    <row r="306" spans="27:32" x14ac:dyDescent="0.2">
      <c r="AA306" t="s">
        <v>278</v>
      </c>
      <c r="AB306" t="str">
        <f>HLOOKUP($Q$2,$AD$4:$AK$800,AD306)</f>
        <v>Transparency of the current vector. Positive decimal values are accepted from 0 to 1, where with the value 0 it has no transparency and with the value 1 its transparency is total. This function is useful for example for auxiliary vectors that are not directly part of the problem.</v>
      </c>
      <c r="AD306">
        <v>303</v>
      </c>
      <c r="AE306" t="str">
        <f>$AE$225</f>
        <v>Transparency of the current vector. Positive decimal values are accepted from 0 to 1, where with the value 0 it has no transparency and with the value 1 its transparency is total. This function is useful for example for auxiliary vectors that are not directly part of the problem.</v>
      </c>
      <c r="AF306" t="str">
        <f>$AF$225</f>
        <v xml:space="preserve">Transparencia del vector en curso. Se aceptan valores positivos decimales desde 0 hasta 1, en donde con el valor 0 no tiene transparencia y con el valor 1 su transparencia es total. Esta función es útil por ejemplo para vectores auxiliares que no hacen parte del problema directamente.  </v>
      </c>
    </row>
    <row r="307" spans="27:32" x14ac:dyDescent="0.2">
      <c r="AA307" t="s">
        <v>281</v>
      </c>
      <c r="AB307" t="str">
        <f>HLOOKUP($Q$2,$AD$4:$AK$800,AD307)</f>
        <v>Free cell for form 183. For form -114, the indicator position column is entered here (the row is entered in the adjacent cell on the left.) _x000D__x000D_To see how it works, open a new ScienSolar sheet, press +Vector to add a new vector and place (with minus sign) B7=-114, B9=6,C9= 3 for the purpose of targeting the color cell.Press YZ to see the result. Change the values B9=8,C9=5 to point to the cell in row 8, column 5. Set B10=3 to C10=3 to change the position of the square.Set B12=8, C12=3 to resize. Press YZ to see the result. Press &gt;&gt;C to rotate the coordinate system. Remove the minus sign at B7, B7=114. Press &gt;&gt;C again to see the difference.</v>
      </c>
      <c r="AD307">
        <v>304</v>
      </c>
      <c r="AE307" t="str">
        <f>$AE$226</f>
        <v>Free cell for form 183. For form -114, the indicator position column is entered here (the row is entered in the adjacent cell on the left.) _x000D__x000D_To see how it works, open a new ScienSolar sheet, press +Vector to add a new vector and place (with minus sign) B7=-114, B9=6,C9= 3 for the purpose of targeting the color cell.Press YZ to see the result. Change the values B9=8,C9=5 to point to the cell in row 8, column 5. Set B10=3 to C10=3 to change the position of the square.Set B12=8, C12=3 to resize. Press YZ to see the result. Press &gt;&gt;C to rotate the coordinate system. Remove the minus sign at B7, B7=114. Press &gt;&gt;C again to see the difference.</v>
      </c>
      <c r="AF307" t="str">
        <f>$AF$226</f>
        <v>Celda libre para la forma 183. Para la forma -114 se introduce aquí la columna de posición del indicador (la fila se introduce en la celda contigua de la izquierda.) _x000D__x000D_Para ver cómo funciona, abra una nueva hoja de ScienSolar, oprima +Vector para agregar un nuevo vector y coloque (con signo menos) B7=-114, B9=6,C9=3 con el propósito de apuntar a la celda del color. Oprima YZ para ver el resultado. Cambie los valores B9=8,C9=5 para apuntar a la celda que se encuentra en la fila 8, columna 5. Coloque B10=3 C10=3 para cambiar la posición del cuadrado. Coloque B12=8, C12=3 para cambiar su tamaño. Oprima YZ para ver el resultado. Oprima &gt;&gt;C para rotar el sistema de coordenadas. Quite el signo menos en B7, B7=114. Oprima de nuevo &gt;&gt;C para ver la diferencia.</v>
      </c>
    </row>
    <row r="308" spans="27:32" x14ac:dyDescent="0.2">
      <c r="AA308" t="s">
        <v>284</v>
      </c>
      <c r="AB308" t="str">
        <f>HLOOKUP($Q$2,$AD$4:$AK$800,AD308)</f>
        <v>This cell indicates the initial position on the Z axis of the current vector. When working in FIELD mode, the code automatically deletes the data in this cell and replaces it with =C11, since in C11 will traverse (in field mode) all the initial values of the Z coordinates of the given field vectors for a range in the Z coordinate. In this cell the user can enter constant values as well as functions._x000D__x000D_ To see how it works, in a new ScienSolar sheet add a new vector and set A12 = 4, B12 = 3, C12 = 0. Press the XYZ button. Enter other values and observe the changes in the coordinate system.</v>
      </c>
      <c r="AD308">
        <v>305</v>
      </c>
      <c r="AE308" t="str">
        <f>$AE$227</f>
        <v>This cell indicates the initial position on the Z axis of the current vector. When working in FIELD mode, the code automatically deletes the data in this cell and replaces it with =C11, since in C11 will traverse (in field mode) all the initial values of the Z coordinates of the given field vectors for a range in the Z coordinate. In this cell the user can enter constant values as well as functions._x000D__x000D_ To see how it works, in a new ScienSolar sheet add a new vector and set A12 = 4, B12 = 3, C12 = 0. Press the XYZ button. Enter other values and observe the changes in the coordinate system.</v>
      </c>
      <c r="AF308" t="str">
        <f>$AF$227</f>
        <v xml:space="preserve">Esta celda indica la posición inicial en el eje Z del vector actual. Cuando se trabaja en modo CAMPO, el código automáticamente borra los datos de esta celda y los reemplaza por =C11, puesto que en C11 se recorrerán (en modo campo) todos los valores iniciales de las coordenadas en Z de los vectores del campo dados para un rango en la coordenada Z. En esta celda el usuario puede introducir valores constantes así como funciones._x000D__x000D_ Para ver como funciona, en una nueva hoja de ScienSolar agregue un nuevo vector y en A12 = 4, B12= 3, C12 = 0. Oprima XYZ. Ponga otros valores y observe los cambios en el sistema de coordenadas. </v>
      </c>
    </row>
    <row r="309" spans="27:32" x14ac:dyDescent="0.2">
      <c r="AA309" t="s">
        <v>287</v>
      </c>
      <c r="AB309" t="str">
        <f>HLOOKUP($Q$2,$AD$4:$AK$800,AD309)</f>
        <v>This cell is used by the code when working in FIELD MODE to cycle through all the coordinate values as variables. In other words, this cell is equivalent to the variable z when working with a function f(z). As an example of using this cell, see the ELECTRICAL DIPOLE, CYLINDRICAL SYMMETRY and SPHERICAL SYMMETRY projects. For scalar fields, see the FUNCTIONS project.</v>
      </c>
      <c r="AD309">
        <v>306</v>
      </c>
      <c r="AE309" t="str">
        <f>$AE$228</f>
        <v>This cell is used by the code when working in FIELD MODE to cycle through all the coordinate values as variables. In other words, this cell is equivalent to the variable z when working with a function f(z). As an example of using this cell, see the ELECTRICAL DIPOLE, CYLINDRICAL SYMMETRY and SPHERICAL SYMMETRY projects. For scalar fields, see the FUNCTIONS project.</v>
      </c>
      <c r="AF309" t="str">
        <f>$AF$228</f>
        <v>Esta celda es usada por el código cuando se trabaja en MODO CAMPO para recorrer todos los valores de las coordenadas como variables. Dicho de otra manera, esta celda equivale a la variable z cuando se trabaja con una función f(z). Como ejemplo de uso de esta celda ver los proyectos DIPOLO ELÉCTRICO, SIMETRÍA CILÍNDRICA y SIMETRÍA ESFÉRICA. Para campos escalares ver el proyecto FUNCIONES.</v>
      </c>
    </row>
    <row r="310" spans="27:32" x14ac:dyDescent="0.2">
      <c r="AA310" t="s">
        <v>290</v>
      </c>
      <c r="AB310" t="str">
        <f>HLOOKUP($Q$2,$AD$4:$AK$800,AD310)</f>
        <v>In this cell the value of the coordinate on the Z axis of the vector is entered. When working in FIELD MODE, the function corresponding to the Z axis of the vector field is entered here. As an example of use of this cell see the ELECTRICAL DIPOLE, CYLINDRICAL SYMMETRY and SPHERICAL SYMMETRY projects. For scalar fields see the FUNCTIONS project.</v>
      </c>
      <c r="AD310">
        <v>307</v>
      </c>
      <c r="AE310" t="str">
        <f>$AE$229</f>
        <v>In this cell the value of the coordinate on the Z axis of the vector is entered. When working in FIELD MODE, the function corresponding to the Z axis of the vector field is entered here. As an example of use of this cell see the ELECTRICAL DIPOLE, CYLINDRICAL SYMMETRY and SPHERICAL SYMMETRY projects. For scalar fields see the FUNCTIONS project.</v>
      </c>
      <c r="AF310" t="str">
        <f>$AF$229</f>
        <v>En esta celda se introduce el valor de la coordenada en el eje Z del vector. Cuando se trabaja en MODO CAMPO, se introduce aquí la función correspondiente al eje Z del campo vectorial. Como ejemplo de uso de esta celda ver los proyectos  DIPOLO ELÉCTRICO, SIMETRÍA CILÍNDRICA y SIMETRÍA ESFÉRICA. Para campos escalares ver el proyecto FUNCIONES.</v>
      </c>
    </row>
    <row r="311" spans="27:32" x14ac:dyDescent="0.2">
      <c r="AA311" t="s">
        <v>293</v>
      </c>
      <c r="AB311" t="str">
        <f>HLOOKUP($Q$2,$AD$4:$AK$800,AD311)</f>
        <v>Vector HISTORY cell. Possible values 1 and 2. With the value 2 the vector will leave a trace of its path in the spreadsheet, which is visible when the vector changes position. When the value 1 is placed after having had the value 2, the old vectors will disappear from gradually when some action is executed._x000D__x000D_To see how it works, in a new ScienSolar sheet add a vector (by pressing the +Vector button) and enter the number 2 in cell C13=2. Press the rotate button &gt;&gt;C. Now change the initial positions of the vector and its coordinates and press &gt;&gt;C again. You will notice that a set of vectors appears in the coordinate system. Then enter C13=1 and press &gt;&gt;C to see the vectors gradually disappear. Press &gt;&gt;C again for their complete disappearance. If you want the vectors to disappear instantly, you must enter a value greater than 5000 in cell A8, for example A8=6000, and press any refresh button.</v>
      </c>
      <c r="AD311">
        <v>308</v>
      </c>
      <c r="AE311" t="str">
        <f>$AE$230</f>
        <v>Vector HISTORY cell. Possible values 1 and 2. With the value 2 the vector will leave a trace of its path in the spreadsheet, which is visible when the vector changes position. When the value 1 is placed after having had the value 2, the old vectors will disappear from gradually when some action is executed._x000D__x000D_To see how it works, in a new ScienSolar sheet add a vector (by pressing the +Vector button) and enter the number 2 in cell C13=2. Press the rotate button &gt;&gt;C. Now change the initial positions of the vector and its coordinates and press &gt;&gt;C again. You will notice that a set of vectors appears in the coordinate system. Then enter C13=1 and press &gt;&gt;C to see the vectors gradually disappear. Press &gt;&gt;C again for their complete disappearance. If you want the vectors to disappear instantly, you must enter a value greater than 5000 in cell A8, for example A8=6000, and press any refresh button.</v>
      </c>
      <c r="AF311" t="str">
        <f>$AF$230</f>
        <v xml:space="preserve">Celda de HISTORIA del vector. Posibles valores 1 y 2.  Con el valor 2 el vector dejará huella de su recorrido en la hoja de cálculo, lo cual es visible cuando el vector cambia de posición. Cuando se coloca el valor 1 después de haber tenido el valor 2, los vectores antiguos irán desapareciendo de forma paulatina cuando se ejecuta alguna acción. _x000D__x000D_Para ver como trabaja, en una hoja nueva de ScienSolar agregue un vector (oprimiendo el botón +Vector) e ingrese el número 2 en la celda C13=2. Oprima el botón de rotación &gt;&gt;C. Ahora cambie las posiciones iniciales del vector y sus coordenadas y vuelva a oprimir &gt;&gt;C.  Observará que aparece en el sistema de coordenadas un abanico de vectores. Posteriormente ingrese  C13=1 y oprima &gt;&gt;C para ver desaparecer los vectores paulatinamente. Oprima de nuevo &gt;&gt;C para su total desaparición.  Si desea que los vectores desaparezcan instantáneamente, debe colocar en la celda A8 un valor mayor a 5000, por ejemplo A8=6000 y oprimir cualquier botón de actualización. </v>
      </c>
    </row>
    <row r="312" spans="27:32" x14ac:dyDescent="0.2">
      <c r="AA312" t="s">
        <v>296</v>
      </c>
      <c r="AB312" t="str">
        <f>HLOOKUP($Q$2,$AD$4:$AK$800,AD312)</f>
        <v>Vector thickness. The default value is 1. For thicker vectors enter a value greater than 1. Here, as in other configuration cells, dynamic formulas can be entered that change the appearance of the vectors depending on certain particular parameters for each project.</v>
      </c>
      <c r="AD312">
        <v>309</v>
      </c>
      <c r="AE312" t="str">
        <f>$AE$231</f>
        <v>Vector thickness. The default value is 1. For thicker vectors enter a value greater than 1. Here, as in other configuration cells, dynamic formulas can be entered that change the appearance of the vectors depending on certain particular parameters for each project.</v>
      </c>
      <c r="AF312" t="str">
        <f>$AF$231</f>
        <v xml:space="preserve">Grosor del vector. El valor predeterminado es 1. Para vectores más gruesos coloque un valor mayor que 1. Aquí, como en otras celdas de configuración, se pueden ingresar fórmulas dinámicas que cambian la apariencia de los vectores dependiendo de ciertos parámetros particulares para cada proyecto. </v>
      </c>
    </row>
    <row r="313" spans="27:32" x14ac:dyDescent="0.2">
      <c r="AA313" t="s">
        <v>299</v>
      </c>
      <c r="AB313" t="str">
        <f>HLOOKUP($Q$2,$AD$4:$AK$800,AD313)</f>
        <v xml:space="preserve">Color of the vector or shape that is loaded into the coordinate system. Change the background color of this cell with the respective Excel tool and will change the color of the vector (after pressing XYZ). This cell is free to use with data or formulas. To see how it works, in a new ScienSolar sheet press +Vector, then change the color of this cell and press XYZ. Change the shape code to 114 (instead of 183), press YZ, change the color and press YZ again. </v>
      </c>
      <c r="AD313">
        <v>310</v>
      </c>
      <c r="AE313" t="str">
        <f>$AE$223</f>
        <v xml:space="preserve">Color of the vector or shape that is loaded into the coordinate system. Change the background color of this cell with the respective Excel tool and will change the color of the vector (after pressing XYZ). This cell is free to use with data or formulas. To see how it works, in a new ScienSolar sheet press +Vector, then change the color of this cell and press XYZ. Change the shape code to 114 (instead of 183), press YZ, change the color and press YZ again. </v>
      </c>
      <c r="AF313" t="str">
        <f>$AF$223</f>
        <v>Color del vector o de la forma que se carga al sistema de coordenadas. Cambie el color de fondo de esta celda con la respectiva herramienta de Excel  y cambiará el color del vector (luego de oprimir XYZ). Esta celda está libre para utilizarla con datos o fórmulas. Para ver cómo funciona,  en una nueva hoja de ScienSolar oprima +Vector, luego cambie el color de esta celda y oprima XYZ. Cambie el código de la forma a 114 (en lugar de 183), oprima YZ, cambie el color y vuelva a oprimir YZ.</v>
      </c>
    </row>
    <row r="314" spans="27:32" x14ac:dyDescent="0.2">
      <c r="AA314" t="s">
        <v>302</v>
      </c>
      <c r="AB314" t="str">
        <f>HLOOKUP($Q$2,$AD$4:$AK$800,AD314)</f>
        <v>FIELD MODE. Possible values:_x000D_o --&gt; Cartesian Coordinates,_x000D_c --&gt; Cylindrical Coordinates,_x000D_s --&gt; Spherical Coordinates,_x000D_empty --&gt; Field Mode disabled._x000D__x000D_Once one of these values has been entered (in lower case and without the equal sign), pressing XYZ will display a string of values explained below. Only the values in brackets should be modified according to the units of the coordinates:_x000D__x000D_CARTESIAN COORDINATES:_x000D_o[5]x=[40;40] --&gt; Step and range in x,_x000D_o2[20]y=[-100;100] --&gt; Step and range in y,_x000D_o3[40]z=[0;100] --&gt; Step and range in z,_x000D__x000D_CYLINDRICAL COORDINATES:_x000D_c[5]rho=[40;40] --&gt; Step and range in rho,_x000D_c2[20]phi=[0;360] --&gt; Step and range in phi,_x000D_c3[40]z=[0;100] --&gt; Step and range in z,_x000D__x000D_SPHERICAL COORDINATES:_x000D_s[5]r=[40;40] --&gt; Step and range in r,_x000D_s2[20]phi=[180;270] --&gt; Step and range in phi,_x000D_s3[5]theta=[0;90] --&gt; Step and range in theta,_x000D__x000D_color=[80] --&gt; Approximate magnitude of the largest vector to distribute the color gradient in all vectors according to their magnitude,_x000D_[cart.]=[0;0;0] --&gt; Shift of the origin of coordinates with respect to the original,_x000D_tfactor=0.001386089s --&gt; Information on the time of placing a single vector on the sheet. No action required._x000D__x000D_PROPERTIES: This cell can only be used to clone the vectors in three-dimensional space. When it is empty, its function is inactive. The distribution of the vectors can be done in three ways: through Cartesian, cylindrical or spherical coordinates. Examples of application of this function can be seen in vector 5 of the ELECTRIC DIPOLE project and a more advanced form of its use in projectsELECTRIC DIPOLE, PLANE SYMMETRY, CYLINDRICAL SYMMETRY and SPHERICAL SYMMETRY.</v>
      </c>
      <c r="AD314">
        <v>311</v>
      </c>
      <c r="AE314" t="str">
        <f>$AE$224</f>
        <v>FIELD MODE. Possible values:_x000D_o --&gt; Cartesian Coordinates,_x000D_c --&gt; Cylindrical Coordinates,_x000D_s --&gt; Spherical Coordinates,_x000D_empty --&gt; Field Mode disabled._x000D__x000D_Once one of these values has been entered (in lower case and without the equal sign), pressing XYZ will display a string of values explained below. Only the values in brackets should be modified according to the units of the coordinates:_x000D__x000D_CARTESIAN COORDINATES:_x000D_o[5]x=[40;40] --&gt; Step and range in x,_x000D_o2[20]y=[-100;100] --&gt; Step and range in y,_x000D_o3[40]z=[0;100] --&gt; Step and range in z,_x000D__x000D_CYLINDRICAL COORDINATES:_x000D_c[5]rho=[40;40] --&gt; Step and range in rho,_x000D_c2[20]phi=[0;360] --&gt; Step and range in phi,_x000D_c3[40]z=[0;100] --&gt; Step and range in z,_x000D__x000D_SPHERICAL COORDINATES:_x000D_s[5]r=[40;40] --&gt; Step and range in r,_x000D_s2[20]phi=[180;270] --&gt; Step and range in phi,_x000D_s3[5]theta=[0;90] --&gt; Step and range in theta,_x000D__x000D_color=[80] --&gt; Approximate magnitude of the largest vector to distribute the color gradient in all vectors according to their magnitude,_x000D_[cart.]=[0;0;0] --&gt; Shift of the origin of coordinates with respect to the original,_x000D_tfactor=0.001386089s --&gt; Information on the time of placing a single vector on the sheet. No action required._x000D__x000D_PROPERTIES: This cell can only be used to clone the vectors in three-dimensional space. When it is empty, its function is inactive. The distribution of the vectors can be done in three ways: through Cartesian, cylindrical or spherical coordinates. Examples of application of this function can be seen in vector 5 of the ELECTRIC DIPOLE project and a more advanced form of its use in projectsELECTRIC DIPOLE, PLANE SYMMETRY, CYLINDRICAL SYMMETRY and SPHERICAL SYMMETRY.</v>
      </c>
      <c r="AF314" t="str">
        <f>$AF$224</f>
        <v>MODO CAMPO. Posibles valores:_x000D_o --&gt; coordenadas cartesianas,_x000D_c --&gt; coordenadas cilíndricas,_x000D_s --&gt; coordenadas esféricas,_x000D_vacía --&gt; modo campo deshabilitado._x000D__x000D_Una vez ingresado uno de estos valores (en minúscula y sin el signo igual), oprimiendo XYZ aparecerá una cadena de valores que se explica a continuación. Se deben modificar únicamente los valores entre corchetes de acuerdo a las unidades de las coordenadas:_x000D__x000D_COORDENADAS CARTESIANAS:_x000D_o[5]x=[40;40] --&gt; paso y rango en x,_x000D_o2[20]y=[-100;100] --&gt; paso y rango en y,_x000D_o3[40]z=[0;100] --&gt; paso y rango en z,_x000D__x000D_COORDENADAS CILÍNDRICAS:_x000D_c[5]rho=[40;40] --&gt; paso y rango en rho,_x000D_c2[20]phi=[0;360] --&gt; paso y rango en phi,_x000D_c3[40]z=[0;100] --&gt; paso y rango en z,_x000D__x000D_COORDENADAS ESFÉRICAS:_x000D_s[5]r=[40;40] --&gt; paso y rango en r,_x000D_s2[20]phi=[180;270] --&gt; paso y rango en phi,_x000D_s3[5]theta=[0;90] --&gt; paso y rango en theta,_x000D__x000D_color=[80] --&gt; magnitud aproximada del mayor vector para distribuir el gradiente de color en todos los vectores de acuerdo a su magnitud,_x000D_[cart.]=[0;0;0] --&gt; corrimiento del origen de coordenadas con respecto al original,_x000D_tfactor=0,001386089s --&gt; información del tiempo de puesta de un solo vector en la hoja. No requiere ninguna acción._x000D__x000D_PROPIEDADES: Esta celda sólo puede ser usada para clonar los vectores en el espacio tridimensional. Cuando está vacía, su función se inactiva. La distribución de los vectores se puede hacer de tres maneras: a través de coordenadas cartesianas, cilíndricas o esféricas. Ejemplos de aplicación de esta función se pueden ver en en el vector 5 del proyecto DIPOLO ELÉCTRICO y una forma más avanzada de su uso en los proyectos DIPOLO ELÉCTRICO, SIMETRÍA PLANA, SIMETRÍA CILÍNDRICA y SIMETRÍA ESFÉRICA.</v>
      </c>
    </row>
    <row r="315" spans="27:32" x14ac:dyDescent="0.2">
      <c r="AA315" t="s">
        <v>305</v>
      </c>
      <c r="AB315" t="str">
        <f>HLOOKUP($Q$2,$AD$4:$AK$800,AD315)</f>
        <v>Transparency of the current vector. Positive decimal values are accepted from 0 to 1, where with the value 0 it has no transparency and with the value 1 its transparency is total. This function is useful for example for auxiliary vectors that are not directly part of the problem.</v>
      </c>
      <c r="AD315">
        <v>312</v>
      </c>
      <c r="AE315" t="str">
        <f>$AE$225</f>
        <v>Transparency of the current vector. Positive decimal values are accepted from 0 to 1, where with the value 0 it has no transparency and with the value 1 its transparency is total. This function is useful for example for auxiliary vectors that are not directly part of the problem.</v>
      </c>
      <c r="AF315" t="str">
        <f>$AF$225</f>
        <v xml:space="preserve">Transparencia del vector en curso. Se aceptan valores positivos decimales desde 0 hasta 1, en donde con el valor 0 no tiene transparencia y con el valor 1 su transparencia es total. Esta función es útil por ejemplo para vectores auxiliares que no hacen parte del problema directamente.  </v>
      </c>
    </row>
    <row r="316" spans="27:32" x14ac:dyDescent="0.2">
      <c r="AA316" t="s">
        <v>308</v>
      </c>
      <c r="AB316" t="str">
        <f>HLOOKUP($Q$2,$AD$4:$AK$800,AD316)</f>
        <v>Free cell for form 183. For form -114, the indicator position column is entered here (the row is entered in the adjacent cell on the left.) _x000D__x000D_To see how it works, open a new ScienSolar sheet, press +Vector to add a new vector and place (with minus sign) B7=-114, B9=6,C9= 3 for the purpose of targeting the color cell.Press YZ to see the result. Change the values B9=8,C9=5 to point to the cell in row 8, column 5. Set B10=3 to C10=3 to change the position of the square.Set B12=8, C12=3 to resize. Press YZ to see the result. Press &gt;&gt;C to rotate the coordinate system. Remove the minus sign at B7, B7=114. Press &gt;&gt;C again to see the difference.</v>
      </c>
      <c r="AD316">
        <v>313</v>
      </c>
      <c r="AE316" t="str">
        <f>$AE$226</f>
        <v>Free cell for form 183. For form -114, the indicator position column is entered here (the row is entered in the adjacent cell on the left.) _x000D__x000D_To see how it works, open a new ScienSolar sheet, press +Vector to add a new vector and place (with minus sign) B7=-114, B9=6,C9= 3 for the purpose of targeting the color cell.Press YZ to see the result. Change the values B9=8,C9=5 to point to the cell in row 8, column 5. Set B10=3 to C10=3 to change the position of the square.Set B12=8, C12=3 to resize. Press YZ to see the result. Press &gt;&gt;C to rotate the coordinate system. Remove the minus sign at B7, B7=114. Press &gt;&gt;C again to see the difference.</v>
      </c>
      <c r="AF316" t="str">
        <f>$AF$226</f>
        <v>Celda libre para la forma 183. Para la forma -114 se introduce aquí la columna de posición del indicador (la fila se introduce en la celda contigua de la izquierda.) _x000D__x000D_Para ver cómo funciona, abra una nueva hoja de ScienSolar, oprima +Vector para agregar un nuevo vector y coloque (con signo menos) B7=-114, B9=6,C9=3 con el propósito de apuntar a la celda del color. Oprima YZ para ver el resultado. Cambie los valores B9=8,C9=5 para apuntar a la celda que se encuentra en la fila 8, columna 5. Coloque B10=3 C10=3 para cambiar la posición del cuadrado. Coloque B12=8, C12=3 para cambiar su tamaño. Oprima YZ para ver el resultado. Oprima &gt;&gt;C para rotar el sistema de coordenadas. Quite el signo menos en B7, B7=114. Oprima de nuevo &gt;&gt;C para ver la diferencia.</v>
      </c>
    </row>
    <row r="317" spans="27:32" x14ac:dyDescent="0.2">
      <c r="AA317" t="s">
        <v>311</v>
      </c>
      <c r="AB317" t="str">
        <f>HLOOKUP($Q$2,$AD$4:$AK$800,AD317)</f>
        <v>This cell indicates the initial position on the Z axis of the current vector. When working in FIELD mode, the code automatically deletes the data in this cell and replaces it with =C11, since in C11 will traverse (in field mode) all the initial values of the Z coordinates of the given field vectors for a range in the Z coordinate. In this cell the user can enter constant values as well as functions._x000D__x000D_ To see how it works, in a new ScienSolar sheet add a new vector and set A12 = 4, B12 = 3, C12 = 0. Press the XYZ button. Enter other values and observe the changes in the coordinate system.</v>
      </c>
      <c r="AD317">
        <v>314</v>
      </c>
      <c r="AE317" t="str">
        <f>$AE$227</f>
        <v>This cell indicates the initial position on the Z axis of the current vector. When working in FIELD mode, the code automatically deletes the data in this cell and replaces it with =C11, since in C11 will traverse (in field mode) all the initial values of the Z coordinates of the given field vectors for a range in the Z coordinate. In this cell the user can enter constant values as well as functions._x000D__x000D_ To see how it works, in a new ScienSolar sheet add a new vector and set A12 = 4, B12 = 3, C12 = 0. Press the XYZ button. Enter other values and observe the changes in the coordinate system.</v>
      </c>
      <c r="AF317" t="str">
        <f>$AF$227</f>
        <v xml:space="preserve">Esta celda indica la posición inicial en el eje Z del vector actual. Cuando se trabaja en modo CAMPO, el código automáticamente borra los datos de esta celda y los reemplaza por =C11, puesto que en C11 se recorrerán (en modo campo) todos los valores iniciales de las coordenadas en Z de los vectores del campo dados para un rango en la coordenada Z. En esta celda el usuario puede introducir valores constantes así como funciones._x000D__x000D_ Para ver como funciona, en una nueva hoja de ScienSolar agregue un nuevo vector y en A12 = 4, B12= 3, C12 = 0. Oprima XYZ. Ponga otros valores y observe los cambios en el sistema de coordenadas. </v>
      </c>
    </row>
    <row r="318" spans="27:32" x14ac:dyDescent="0.2">
      <c r="AA318" t="s">
        <v>314</v>
      </c>
      <c r="AB318" t="str">
        <f>HLOOKUP($Q$2,$AD$4:$AK$800,AD318)</f>
        <v>This cell is used by the code when working in FIELD MODE to cycle through all the coordinate values as variables. In other words, this cell is equivalent to the variable z when working with a function f(z). As an example of using this cell, see the ELECTRICAL DIPOLE, CYLINDRICAL SYMMETRY and SPHERICAL SYMMETRY projects. For scalar fields, see the FUNCTIONS project.</v>
      </c>
      <c r="AD318">
        <v>315</v>
      </c>
      <c r="AE318" t="str">
        <f>$AE$228</f>
        <v>This cell is used by the code when working in FIELD MODE to cycle through all the coordinate values as variables. In other words, this cell is equivalent to the variable z when working with a function f(z). As an example of using this cell, see the ELECTRICAL DIPOLE, CYLINDRICAL SYMMETRY and SPHERICAL SYMMETRY projects. For scalar fields, see the FUNCTIONS project.</v>
      </c>
      <c r="AF318" t="str">
        <f>$AF$228</f>
        <v>Esta celda es usada por el código cuando se trabaja en MODO CAMPO para recorrer todos los valores de las coordenadas como variables. Dicho de otra manera, esta celda equivale a la variable z cuando se trabaja con una función f(z). Como ejemplo de uso de esta celda ver los proyectos DIPOLO ELÉCTRICO, SIMETRÍA CILÍNDRICA y SIMETRÍA ESFÉRICA. Para campos escalares ver el proyecto FUNCIONES.</v>
      </c>
    </row>
    <row r="319" spans="27:32" x14ac:dyDescent="0.2">
      <c r="AA319" t="s">
        <v>317</v>
      </c>
      <c r="AB319" t="str">
        <f>HLOOKUP($Q$2,$AD$4:$AK$800,AD319)</f>
        <v>In this cell the value of the coordinate on the Z axis of the vector is entered. When working in FIELD MODE, the function corresponding to the Z axis of the vector field is entered here. As an example of use of this cell see the ELECTRICAL DIPOLE, CYLINDRICAL SYMMETRY and SPHERICAL SYMMETRY projects. For scalar fields see the FUNCTIONS project.</v>
      </c>
      <c r="AD319">
        <v>316</v>
      </c>
      <c r="AE319" t="str">
        <f>$AE$229</f>
        <v>In this cell the value of the coordinate on the Z axis of the vector is entered. When working in FIELD MODE, the function corresponding to the Z axis of the vector field is entered here. As an example of use of this cell see the ELECTRICAL DIPOLE, CYLINDRICAL SYMMETRY and SPHERICAL SYMMETRY projects. For scalar fields see the FUNCTIONS project.</v>
      </c>
      <c r="AF319" t="str">
        <f>$AF$229</f>
        <v>En esta celda se introduce el valor de la coordenada en el eje Z del vector. Cuando se trabaja en MODO CAMPO, se introduce aquí la función correspondiente al eje Z del campo vectorial. Como ejemplo de uso de esta celda ver los proyectos  DIPOLO ELÉCTRICO, SIMETRÍA CILÍNDRICA y SIMETRÍA ESFÉRICA. Para campos escalares ver el proyecto FUNCIONES.</v>
      </c>
    </row>
    <row r="320" spans="27:32" x14ac:dyDescent="0.2">
      <c r="AA320" t="s">
        <v>320</v>
      </c>
      <c r="AB320" t="str">
        <f>HLOOKUP($Q$2,$AD$4:$AK$800,AD320)</f>
        <v>Vector HISTORY cell. Possible values 1 and 2. With the value 2 the vector will leave a trace of its path in the spreadsheet, which is visible when the vector changes position. When the value 1 is placed after having had the value 2, the old vectors will disappear from gradually when some action is executed._x000D__x000D_To see how it works, in a new ScienSolar sheet add a vector (by pressing the +Vector button) and enter the number 2 in cell C13=2. Press the rotate button &gt;&gt;C. Now change the initial positions of the vector and its coordinates and press &gt;&gt;C again. You will notice that a set of vectors appears in the coordinate system. Then enter C13=1 and press &gt;&gt;C to see the vectors gradually disappear. Press &gt;&gt;C again for their complete disappearance. If you want the vectors to disappear instantly, you must enter a value greater than 5000 in cell A8, for example A8=6000, and press any refresh button.</v>
      </c>
      <c r="AD320">
        <v>317</v>
      </c>
      <c r="AE320" t="str">
        <f>$AE$230</f>
        <v>Vector HISTORY cell. Possible values 1 and 2. With the value 2 the vector will leave a trace of its path in the spreadsheet, which is visible when the vector changes position. When the value 1 is placed after having had the value 2, the old vectors will disappear from gradually when some action is executed._x000D__x000D_To see how it works, in a new ScienSolar sheet add a vector (by pressing the +Vector button) and enter the number 2 in cell C13=2. Press the rotate button &gt;&gt;C. Now change the initial positions of the vector and its coordinates and press &gt;&gt;C again. You will notice that a set of vectors appears in the coordinate system. Then enter C13=1 and press &gt;&gt;C to see the vectors gradually disappear. Press &gt;&gt;C again for their complete disappearance. If you want the vectors to disappear instantly, you must enter a value greater than 5000 in cell A8, for example A8=6000, and press any refresh button.</v>
      </c>
      <c r="AF320" t="str">
        <f>$AF$230</f>
        <v xml:space="preserve">Celda de HISTORIA del vector. Posibles valores 1 y 2.  Con el valor 2 el vector dejará huella de su recorrido en la hoja de cálculo, lo cual es visible cuando el vector cambia de posición. Cuando se coloca el valor 1 después de haber tenido el valor 2, los vectores antiguos irán desapareciendo de forma paulatina cuando se ejecuta alguna acción. _x000D__x000D_Para ver como trabaja, en una hoja nueva de ScienSolar agregue un vector (oprimiendo el botón +Vector) e ingrese el número 2 en la celda C13=2. Oprima el botón de rotación &gt;&gt;C. Ahora cambie las posiciones iniciales del vector y sus coordenadas y vuelva a oprimir &gt;&gt;C.  Observará que aparece en el sistema de coordenadas un abanico de vectores. Posteriormente ingrese  C13=1 y oprima &gt;&gt;C para ver desaparecer los vectores paulatinamente. Oprima de nuevo &gt;&gt;C para su total desaparición.  Si desea que los vectores desaparezcan instantáneamente, debe colocar en la celda A8 un valor mayor a 5000, por ejemplo A8=6000 y oprimir cualquier botón de actualización. </v>
      </c>
    </row>
    <row r="321" spans="27:32" x14ac:dyDescent="0.2">
      <c r="AA321" t="s">
        <v>323</v>
      </c>
      <c r="AB321" t="str">
        <f>HLOOKUP($Q$2,$AD$4:$AK$800,AD321)</f>
        <v>Vector thickness. The default value is 1. For thicker vectors enter a value greater than 1. Here, as in other configuration cells, dynamic formulas can be entered that change the appearance of the vectors depending on certain particular parameters for each project.</v>
      </c>
      <c r="AD321">
        <v>318</v>
      </c>
      <c r="AE321" t="str">
        <f>$AE$231</f>
        <v>Vector thickness. The default value is 1. For thicker vectors enter a value greater than 1. Here, as in other configuration cells, dynamic formulas can be entered that change the appearance of the vectors depending on certain particular parameters for each project.</v>
      </c>
      <c r="AF321" t="str">
        <f>$AF$231</f>
        <v xml:space="preserve">Grosor del vector. El valor predeterminado es 1. Para vectores más gruesos coloque un valor mayor que 1. Aquí, como en otras celdas de configuración, se pueden ingresar fórmulas dinámicas que cambian la apariencia de los vectores dependiendo de ciertos parámetros particulares para cada proyecto. </v>
      </c>
    </row>
    <row r="322" spans="27:32" x14ac:dyDescent="0.2">
      <c r="AA322" t="s">
        <v>324</v>
      </c>
      <c r="AB322" t="str">
        <f>HLOOKUP($Q$2,$AD$4:$AK$800,AD322)</f>
        <v>Free cell.</v>
      </c>
      <c r="AD322">
        <v>319</v>
      </c>
      <c r="AE322" t="s">
        <v>332</v>
      </c>
      <c r="AF322" t="s">
        <v>328</v>
      </c>
    </row>
    <row r="323" spans="27:32" x14ac:dyDescent="0.2">
      <c r="AA323" t="s">
        <v>333</v>
      </c>
      <c r="AB323" t="str">
        <f>HLOOKUP($Q$2,$AD$4:$AK$800,AD323)</f>
        <v>Cell used by the B/W button to indicate the format of the sheet background. Press B/W to see the changes, this process does not essentially affect the projects, but rather allows you to change its appearance. Background appearances can be saved in the projects code.</v>
      </c>
      <c r="AD323">
        <v>320</v>
      </c>
      <c r="AE323" t="s">
        <v>885</v>
      </c>
      <c r="AF323" t="s">
        <v>884</v>
      </c>
    </row>
    <row r="324" spans="27:32" x14ac:dyDescent="0.2">
      <c r="AA324" t="s">
        <v>338</v>
      </c>
      <c r="AB324" t="str">
        <f>HLOOKUP($Q$2,$AD$4:$AK$800,AD324)</f>
        <v>Free cell.</v>
      </c>
      <c r="AD324">
        <v>321</v>
      </c>
      <c r="AE324" t="s">
        <v>332</v>
      </c>
      <c r="AF324" t="s">
        <v>342</v>
      </c>
    </row>
    <row r="325" spans="27:32" x14ac:dyDescent="0.2">
      <c r="AA325" t="s">
        <v>343</v>
      </c>
      <c r="AB325" t="str">
        <f>HLOOKUP($Q$2,$AD$4:$AK$800,AD325)</f>
        <v>Free cell.</v>
      </c>
      <c r="AD325">
        <v>322</v>
      </c>
      <c r="AE325" t="s">
        <v>332</v>
      </c>
      <c r="AF325" t="s">
        <v>347</v>
      </c>
    </row>
    <row r="326" spans="27:32" x14ac:dyDescent="0.2">
      <c r="AA326" t="s">
        <v>348</v>
      </c>
      <c r="AB326" t="str">
        <f>HLOOKUP($Q$2,$AD$4:$AK$800,AD326)</f>
        <v>Free cell.</v>
      </c>
      <c r="AD326">
        <v>323</v>
      </c>
      <c r="AE326" t="s">
        <v>332</v>
      </c>
      <c r="AF326" t="s">
        <v>352</v>
      </c>
    </row>
    <row r="327" spans="27:32" x14ac:dyDescent="0.2">
      <c r="AA327" t="s">
        <v>353</v>
      </c>
      <c r="AB327" t="str">
        <f>HLOOKUP($Q$2,$AD$4:$AK$800,AD327)</f>
        <v>Free cell.</v>
      </c>
      <c r="AD327">
        <v>324</v>
      </c>
      <c r="AE327" t="s">
        <v>332</v>
      </c>
      <c r="AF327" t="s">
        <v>357</v>
      </c>
    </row>
    <row r="328" spans="27:32" x14ac:dyDescent="0.2">
      <c r="AA328" t="s">
        <v>358</v>
      </c>
      <c r="AB328" t="str">
        <f>HLOOKUP($Q$2,$AD$4:$AK$800,AD328)</f>
        <v>Free cell.</v>
      </c>
      <c r="AD328">
        <v>325</v>
      </c>
      <c r="AE328" t="s">
        <v>332</v>
      </c>
      <c r="AF328" t="s">
        <v>362</v>
      </c>
    </row>
    <row r="329" spans="27:32" x14ac:dyDescent="0.2">
      <c r="AA329" t="s">
        <v>365</v>
      </c>
      <c r="AB329" t="str">
        <f>HLOOKUP($Q$2,$AD$4:$AK$800,AD329)</f>
        <v>Free cell.</v>
      </c>
      <c r="AD329">
        <v>326</v>
      </c>
      <c r="AE329" t="s">
        <v>332</v>
      </c>
      <c r="AF329" t="s">
        <v>369</v>
      </c>
    </row>
    <row r="330" spans="27:32" x14ac:dyDescent="0.2">
      <c r="AA330" t="s">
        <v>373</v>
      </c>
      <c r="AB330" t="str">
        <f>HLOOKUP($Q$2,$AD$4:$AK$800,AD330)</f>
        <v>Free cell.</v>
      </c>
      <c r="AD330">
        <v>327</v>
      </c>
      <c r="AE330" t="s">
        <v>332</v>
      </c>
      <c r="AF330" t="s">
        <v>377</v>
      </c>
    </row>
    <row r="331" spans="27:32" x14ac:dyDescent="0.2">
      <c r="AA331" t="s">
        <v>381</v>
      </c>
      <c r="AB331" t="str">
        <f>HLOOKUP($Q$2,$AD$4:$AK$800,AD331)</f>
        <v>Free cell.</v>
      </c>
      <c r="AD331">
        <v>328</v>
      </c>
      <c r="AE331" t="s">
        <v>332</v>
      </c>
      <c r="AF331" t="s">
        <v>385</v>
      </c>
    </row>
    <row r="332" spans="27:32" x14ac:dyDescent="0.2">
      <c r="AA332" t="s">
        <v>389</v>
      </c>
      <c r="AB332" t="str">
        <f>HLOOKUP($Q$2,$AD$4:$AK$800,AD332)</f>
        <v>Free cell.</v>
      </c>
      <c r="AD332">
        <v>329</v>
      </c>
      <c r="AE332" t="s">
        <v>332</v>
      </c>
      <c r="AF332" t="s">
        <v>393</v>
      </c>
    </row>
    <row r="333" spans="27:32" x14ac:dyDescent="0.2">
      <c r="AA333" t="s">
        <v>397</v>
      </c>
      <c r="AB333" t="str">
        <f>HLOOKUP($Q$2,$AD$4:$AK$800,AD333)</f>
        <v>Free cell.</v>
      </c>
      <c r="AD333">
        <v>330</v>
      </c>
      <c r="AE333" t="s">
        <v>332</v>
      </c>
      <c r="AF333" t="s">
        <v>401</v>
      </c>
    </row>
    <row r="334" spans="27:32" x14ac:dyDescent="0.2">
      <c r="AA334" t="s">
        <v>405</v>
      </c>
      <c r="AB334" t="str">
        <f>HLOOKUP($Q$2,$AD$4:$AK$800,AD334)</f>
        <v>Free cell.</v>
      </c>
      <c r="AD334">
        <v>331</v>
      </c>
      <c r="AE334" t="s">
        <v>332</v>
      </c>
      <c r="AF334" t="s">
        <v>409</v>
      </c>
    </row>
    <row r="335" spans="27:32" x14ac:dyDescent="0.2">
      <c r="AA335" t="s">
        <v>413</v>
      </c>
      <c r="AB335" t="str">
        <f>HLOOKUP($Q$2,$AD$4:$AK$800,AD335)</f>
        <v>Free cell.</v>
      </c>
      <c r="AD335">
        <v>332</v>
      </c>
      <c r="AE335" t="s">
        <v>332</v>
      </c>
      <c r="AF335" t="s">
        <v>417</v>
      </c>
    </row>
    <row r="336" spans="27:32" x14ac:dyDescent="0.2">
      <c r="AA336" t="s">
        <v>421</v>
      </c>
      <c r="AB336" t="str">
        <f>HLOOKUP($Q$2,$AD$4:$AK$800,AD336)</f>
        <v>Free cell.</v>
      </c>
      <c r="AD336">
        <v>333</v>
      </c>
      <c r="AE336" t="s">
        <v>332</v>
      </c>
      <c r="AF336" t="s">
        <v>425</v>
      </c>
    </row>
    <row r="337" spans="27:32" x14ac:dyDescent="0.2">
      <c r="AA337" t="s">
        <v>429</v>
      </c>
      <c r="AB337" t="str">
        <f>HLOOKUP($Q$2,$AD$4:$AK$800,AD337)</f>
        <v>Free cell.</v>
      </c>
      <c r="AD337">
        <v>334</v>
      </c>
      <c r="AE337" t="s">
        <v>332</v>
      </c>
      <c r="AF337" t="s">
        <v>433</v>
      </c>
    </row>
    <row r="338" spans="27:32" x14ac:dyDescent="0.2">
      <c r="AA338" t="s">
        <v>437</v>
      </c>
      <c r="AB338" t="str">
        <f>HLOOKUP($Q$2,$AD$4:$AK$800,AD338)</f>
        <v>Free cell.</v>
      </c>
      <c r="AD338">
        <v>335</v>
      </c>
      <c r="AE338" t="s">
        <v>332</v>
      </c>
      <c r="AF338" t="s">
        <v>441</v>
      </c>
    </row>
    <row r="339" spans="27:32" x14ac:dyDescent="0.2">
      <c r="AA339" t="s">
        <v>445</v>
      </c>
      <c r="AB339" t="str">
        <f>HLOOKUP($Q$2,$AD$4:$AK$800,AD339)</f>
        <v>Free cell.</v>
      </c>
      <c r="AD339">
        <v>336</v>
      </c>
      <c r="AE339" t="s">
        <v>332</v>
      </c>
      <c r="AF339" t="s">
        <v>449</v>
      </c>
    </row>
    <row r="340" spans="27:32" x14ac:dyDescent="0.2">
      <c r="AA340" t="s">
        <v>453</v>
      </c>
      <c r="AB340" t="str">
        <f>HLOOKUP($Q$2,$AD$4:$AK$800,AD340)</f>
        <v>Free cell.</v>
      </c>
      <c r="AD340">
        <v>337</v>
      </c>
      <c r="AE340" t="s">
        <v>332</v>
      </c>
      <c r="AF340" t="s">
        <v>457</v>
      </c>
    </row>
    <row r="341" spans="27:32" x14ac:dyDescent="0.2">
      <c r="AA341" t="s">
        <v>461</v>
      </c>
      <c r="AB341" t="str">
        <f>HLOOKUP($Q$2,$AD$4:$AK$800,AD341)</f>
        <v>Free cell.</v>
      </c>
      <c r="AD341">
        <v>338</v>
      </c>
      <c r="AE341" t="s">
        <v>332</v>
      </c>
      <c r="AF341" t="s">
        <v>465</v>
      </c>
    </row>
    <row r="342" spans="27:32" x14ac:dyDescent="0.2">
      <c r="AA342" t="s">
        <v>469</v>
      </c>
      <c r="AB342" t="str">
        <f>HLOOKUP($Q$2,$AD$4:$AK$800,AD342)</f>
        <v>Free cell.</v>
      </c>
      <c r="AD342">
        <v>339</v>
      </c>
      <c r="AE342" t="s">
        <v>332</v>
      </c>
      <c r="AF342" t="s">
        <v>473</v>
      </c>
    </row>
    <row r="343" spans="27:32" x14ac:dyDescent="0.2">
      <c r="AA343" t="s">
        <v>477</v>
      </c>
      <c r="AB343" t="str">
        <f>HLOOKUP($Q$2,$AD$4:$AK$800,AD343)</f>
        <v>Free cell.</v>
      </c>
      <c r="AD343">
        <v>340</v>
      </c>
      <c r="AE343" t="s">
        <v>332</v>
      </c>
      <c r="AF343" t="s">
        <v>481</v>
      </c>
    </row>
    <row r="344" spans="27:32" x14ac:dyDescent="0.2">
      <c r="AA344" t="s">
        <v>485</v>
      </c>
      <c r="AB344" t="str">
        <f>HLOOKUP($Q$2,$AD$4:$AK$800,AD344)</f>
        <v>Free cell.</v>
      </c>
      <c r="AD344">
        <v>341</v>
      </c>
      <c r="AE344" t="s">
        <v>332</v>
      </c>
      <c r="AF344" t="s">
        <v>489</v>
      </c>
    </row>
    <row r="345" spans="27:32" x14ac:dyDescent="0.2">
      <c r="AA345" t="s">
        <v>493</v>
      </c>
      <c r="AB345" t="str">
        <f>HLOOKUP($Q$2,$AD$4:$AK$800,AD345)</f>
        <v>Free cell.</v>
      </c>
      <c r="AD345">
        <v>342</v>
      </c>
      <c r="AE345" t="s">
        <v>332</v>
      </c>
      <c r="AF345" t="s">
        <v>497</v>
      </c>
    </row>
    <row r="346" spans="27:32" x14ac:dyDescent="0.2">
      <c r="AA346" t="s">
        <v>501</v>
      </c>
      <c r="AB346" t="str">
        <f>HLOOKUP($Q$2,$AD$4:$AK$800,AD346)</f>
        <v>Free cell.</v>
      </c>
      <c r="AD346">
        <v>343</v>
      </c>
      <c r="AE346" t="s">
        <v>332</v>
      </c>
      <c r="AF346" t="s">
        <v>505</v>
      </c>
    </row>
    <row r="347" spans="27:32" x14ac:dyDescent="0.2">
      <c r="AA347" t="s">
        <v>509</v>
      </c>
      <c r="AB347" t="str">
        <f>HLOOKUP($Q$2,$AD$4:$AK$800,AD347)</f>
        <v>Free cell.</v>
      </c>
      <c r="AD347">
        <v>344</v>
      </c>
      <c r="AE347" t="s">
        <v>332</v>
      </c>
      <c r="AF347" t="s">
        <v>513</v>
      </c>
    </row>
    <row r="348" spans="27:32" x14ac:dyDescent="0.2">
      <c r="AA348" t="s">
        <v>517</v>
      </c>
      <c r="AB348" t="str">
        <f>HLOOKUP($Q$2,$AD$4:$AK$800,AD348)</f>
        <v>Free cell.</v>
      </c>
      <c r="AD348">
        <v>345</v>
      </c>
      <c r="AE348" t="s">
        <v>332</v>
      </c>
      <c r="AF348" t="s">
        <v>521</v>
      </c>
    </row>
    <row r="349" spans="27:32" x14ac:dyDescent="0.2">
      <c r="AA349" t="s">
        <v>525</v>
      </c>
      <c r="AB349" t="str">
        <f>HLOOKUP($Q$2,$AD$4:$AK$800,AD349)</f>
        <v>Free cell.</v>
      </c>
      <c r="AD349">
        <v>346</v>
      </c>
      <c r="AE349" t="s">
        <v>332</v>
      </c>
      <c r="AF349" t="s">
        <v>529</v>
      </c>
    </row>
    <row r="350" spans="27:32" x14ac:dyDescent="0.2">
      <c r="AA350" t="s">
        <v>533</v>
      </c>
      <c r="AB350" t="str">
        <f>HLOOKUP($Q$2,$AD$4:$AK$800,AD350)</f>
        <v>Free cell.</v>
      </c>
      <c r="AD350">
        <v>347</v>
      </c>
      <c r="AE350" t="s">
        <v>332</v>
      </c>
      <c r="AF350" t="s">
        <v>537</v>
      </c>
    </row>
    <row r="351" spans="27:32" x14ac:dyDescent="0.2">
      <c r="AA351" t="s">
        <v>541</v>
      </c>
      <c r="AB351" t="str">
        <f>HLOOKUP($Q$2,$AD$4:$AK$800,AD351)</f>
        <v>Free cell.</v>
      </c>
      <c r="AD351">
        <v>348</v>
      </c>
      <c r="AE351" t="s">
        <v>332</v>
      </c>
      <c r="AF351" t="s">
        <v>545</v>
      </c>
    </row>
    <row r="352" spans="27:32" x14ac:dyDescent="0.2">
      <c r="AA352" t="s">
        <v>549</v>
      </c>
      <c r="AB352" t="str">
        <f>HLOOKUP($Q$2,$AD$4:$AK$800,AD352)</f>
        <v>Free cell.</v>
      </c>
      <c r="AD352">
        <v>349</v>
      </c>
      <c r="AE352" t="s">
        <v>332</v>
      </c>
      <c r="AF352" t="s">
        <v>553</v>
      </c>
    </row>
    <row r="353" spans="27:32" x14ac:dyDescent="0.2">
      <c r="AA353" t="s">
        <v>557</v>
      </c>
      <c r="AB353" t="str">
        <f>HLOOKUP($Q$2,$AD$4:$AK$800,AD353)</f>
        <v>Free cell.</v>
      </c>
      <c r="AD353">
        <v>350</v>
      </c>
      <c r="AE353" t="s">
        <v>332</v>
      </c>
      <c r="AF353" t="s">
        <v>561</v>
      </c>
    </row>
    <row r="354" spans="27:32" x14ac:dyDescent="0.2">
      <c r="AA354" t="s">
        <v>565</v>
      </c>
      <c r="AB354" t="str">
        <f>HLOOKUP($Q$2,$AD$4:$AK$800,AD354)</f>
        <v>Free cell.</v>
      </c>
      <c r="AD354">
        <v>351</v>
      </c>
      <c r="AE354" t="s">
        <v>332</v>
      </c>
      <c r="AF354" t="s">
        <v>569</v>
      </c>
    </row>
    <row r="355" spans="27:32" x14ac:dyDescent="0.2">
      <c r="AA355" t="s">
        <v>573</v>
      </c>
      <c r="AB355" t="str">
        <f>HLOOKUP($Q$2,$AD$4:$AK$800,AD355)</f>
        <v>Free cell.</v>
      </c>
      <c r="AD355">
        <v>352</v>
      </c>
      <c r="AE355" t="s">
        <v>332</v>
      </c>
      <c r="AF355" t="s">
        <v>577</v>
      </c>
    </row>
    <row r="356" spans="27:32" x14ac:dyDescent="0.2">
      <c r="AA356" t="s">
        <v>581</v>
      </c>
      <c r="AB356" t="str">
        <f>HLOOKUP($Q$2,$AD$4:$AK$800,AD356)</f>
        <v>Free cell.</v>
      </c>
      <c r="AD356">
        <v>353</v>
      </c>
      <c r="AE356" t="s">
        <v>332</v>
      </c>
      <c r="AF356" t="s">
        <v>585</v>
      </c>
    </row>
    <row r="357" spans="27:32" x14ac:dyDescent="0.2">
      <c r="AA357" t="s">
        <v>589</v>
      </c>
      <c r="AB357" t="str">
        <f>HLOOKUP($Q$2,$AD$4:$AK$800,AD357)</f>
        <v>Free cell.</v>
      </c>
      <c r="AD357">
        <v>354</v>
      </c>
      <c r="AE357" t="s">
        <v>332</v>
      </c>
      <c r="AF357" t="s">
        <v>593</v>
      </c>
    </row>
    <row r="358" spans="27:32" x14ac:dyDescent="0.2">
      <c r="AA358" t="s">
        <v>597</v>
      </c>
      <c r="AB358" t="str">
        <f>HLOOKUP($Q$2,$AD$4:$AK$800,AD358)</f>
        <v>Free cell.</v>
      </c>
      <c r="AD358">
        <v>355</v>
      </c>
      <c r="AE358" t="s">
        <v>332</v>
      </c>
      <c r="AF358" t="s">
        <v>601</v>
      </c>
    </row>
    <row r="359" spans="27:32" x14ac:dyDescent="0.2">
      <c r="AA359" t="s">
        <v>605</v>
      </c>
      <c r="AB359" t="str">
        <f>HLOOKUP($Q$2,$AD$4:$AK$800,AD359)</f>
        <v>Free cell.</v>
      </c>
      <c r="AD359">
        <v>356</v>
      </c>
      <c r="AE359" t="s">
        <v>332</v>
      </c>
      <c r="AF359" t="s">
        <v>609</v>
      </c>
    </row>
    <row r="360" spans="27:32" x14ac:dyDescent="0.2">
      <c r="AA360" t="s">
        <v>613</v>
      </c>
      <c r="AB360" t="str">
        <f>HLOOKUP($Q$2,$AD$4:$AK$800,AD360)</f>
        <v>Free cell.</v>
      </c>
      <c r="AD360">
        <v>357</v>
      </c>
      <c r="AE360" t="s">
        <v>332</v>
      </c>
      <c r="AF360" t="s">
        <v>617</v>
      </c>
    </row>
    <row r="361" spans="27:32" x14ac:dyDescent="0.2">
      <c r="AA361" t="s">
        <v>621</v>
      </c>
      <c r="AB361" t="str">
        <f>HLOOKUP($Q$2,$AD$4:$AK$800,AD361)</f>
        <v>Free cell.</v>
      </c>
      <c r="AD361">
        <v>358</v>
      </c>
      <c r="AE361" t="s">
        <v>332</v>
      </c>
      <c r="AF361" t="s">
        <v>625</v>
      </c>
    </row>
    <row r="362" spans="27:32" x14ac:dyDescent="0.2">
      <c r="AA362" t="s">
        <v>629</v>
      </c>
      <c r="AB362" t="str">
        <f>HLOOKUP($Q$2,$AD$4:$AK$800,AD362)</f>
        <v>Free cell.</v>
      </c>
      <c r="AD362">
        <v>359</v>
      </c>
      <c r="AE362" t="s">
        <v>332</v>
      </c>
      <c r="AF362" t="s">
        <v>633</v>
      </c>
    </row>
    <row r="363" spans="27:32" x14ac:dyDescent="0.2">
      <c r="AA363" t="s">
        <v>325</v>
      </c>
      <c r="AB363" t="str">
        <f>HLOOKUP($Q$2,$AD$4:$AK$800,AD363)</f>
        <v>Free cell.</v>
      </c>
      <c r="AD363">
        <v>360</v>
      </c>
      <c r="AE363" t="s">
        <v>332</v>
      </c>
      <c r="AF363" t="s">
        <v>329</v>
      </c>
    </row>
    <row r="364" spans="27:32" x14ac:dyDescent="0.2">
      <c r="AA364" t="s">
        <v>334</v>
      </c>
      <c r="AB364" t="str">
        <f>HLOOKUP($Q$2,$AD$4:$AK$800,AD364)</f>
        <v>Free cell.</v>
      </c>
      <c r="AD364">
        <v>361</v>
      </c>
      <c r="AE364" t="s">
        <v>332</v>
      </c>
      <c r="AF364" t="s">
        <v>337</v>
      </c>
    </row>
    <row r="365" spans="27:32" x14ac:dyDescent="0.2">
      <c r="AA365" t="s">
        <v>339</v>
      </c>
      <c r="AB365" t="str">
        <f>HLOOKUP($Q$2,$AD$4:$AK$800,AD365)</f>
        <v>Horizontal position, in Excel points, of the coordinate origin. Each project can customize and save this value in the code. Changing this value will automatically update the positions of the system objects _x000D_The default values and language of the control panel can be customized in the CONFIG sheet.</v>
      </c>
      <c r="AD365">
        <v>362</v>
      </c>
      <c r="AE365" t="s">
        <v>890</v>
      </c>
      <c r="AF365" t="s">
        <v>886</v>
      </c>
    </row>
    <row r="366" spans="27:32" x14ac:dyDescent="0.2">
      <c r="AA366" t="s">
        <v>344</v>
      </c>
      <c r="AB366" t="str">
        <f>HLOOKUP($Q$2,$AD$4:$AK$800,AD366)</f>
        <v>Vertical position, in Excel points, of the coordinate origin. Each project can customize and save this value in the code. Changing this value will automatically update the positions of the system objects of coordinates. The units in which ScienSolar works is in points. To view its magnitude, press YZ and you will see the length of the axis corresponding to that shown in the Length of the axes cell._x000D_The default values and language of the control panel can be customized in the CONFIG sheet,</v>
      </c>
      <c r="AD366">
        <v>363</v>
      </c>
      <c r="AE366" t="s">
        <v>891</v>
      </c>
      <c r="AF366" t="s">
        <v>887</v>
      </c>
    </row>
    <row r="367" spans="27:32" x14ac:dyDescent="0.2">
      <c r="AA367" t="s">
        <v>349</v>
      </c>
      <c r="AB367" t="str">
        <f>HLOOKUP($Q$2,$AD$4:$AK$800,AD367)</f>
        <v>Scale of the vectors or objects that are in the coordinate system. The value 1 corresponds to the 1:1 scale, that is, the vectors are on the same scale as the axes of coordinates; a value greater than 1 means that the coordinates and positions of the vectors will be multiplied by that value. Fractional values can also be used. This cell is used in some cases to adjust the project to the coordinate system._x000D_The default values and language of the control panel can be customized on the CONFIG sheet, in the same cell.</v>
      </c>
      <c r="AD367">
        <v>364</v>
      </c>
      <c r="AE367" t="s">
        <v>892</v>
      </c>
      <c r="AF367" t="s">
        <v>888</v>
      </c>
    </row>
    <row r="368" spans="27:32" x14ac:dyDescent="0.2">
      <c r="AA368" t="s">
        <v>354</v>
      </c>
      <c r="AB368" t="str">
        <f>HLOOKUP($Q$2,$AD$4:$AK$800,AD368)</f>
        <v>Length of the axes in Excel points. To view their magnitude, press YZ and you will see the length of the axis corresponding to the one shown in this cell. All axes have the same length. This value can be customized for each project.</v>
      </c>
      <c r="AD368">
        <v>365</v>
      </c>
      <c r="AE368" t="s">
        <v>893</v>
      </c>
      <c r="AF368" t="s">
        <v>889</v>
      </c>
    </row>
    <row r="369" spans="27:32" x14ac:dyDescent="0.2">
      <c r="AA369" t="s">
        <v>359</v>
      </c>
      <c r="AB369" t="str">
        <f>HLOOKUP($Q$2,$AD$4:$AK$800,AD369)</f>
        <v>Free cell.</v>
      </c>
      <c r="AD369">
        <v>366</v>
      </c>
      <c r="AE369" t="s">
        <v>332</v>
      </c>
      <c r="AF369" t="s">
        <v>363</v>
      </c>
    </row>
    <row r="370" spans="27:32" x14ac:dyDescent="0.2">
      <c r="AA370" t="s">
        <v>366</v>
      </c>
      <c r="AB370" t="str">
        <f>HLOOKUP($Q$2,$AD$4:$AK$800,AD370)</f>
        <v>Free cell.</v>
      </c>
      <c r="AD370">
        <v>367</v>
      </c>
      <c r="AE370" t="s">
        <v>332</v>
      </c>
      <c r="AF370" t="s">
        <v>370</v>
      </c>
    </row>
    <row r="371" spans="27:32" x14ac:dyDescent="0.2">
      <c r="AA371" t="s">
        <v>374</v>
      </c>
      <c r="AB371" t="str">
        <f>HLOOKUP($Q$2,$AD$4:$AK$800,AD371)</f>
        <v>Free cell.</v>
      </c>
      <c r="AD371">
        <v>368</v>
      </c>
      <c r="AE371" t="s">
        <v>332</v>
      </c>
      <c r="AF371" t="s">
        <v>378</v>
      </c>
    </row>
    <row r="372" spans="27:32" x14ac:dyDescent="0.2">
      <c r="AA372" t="s">
        <v>382</v>
      </c>
      <c r="AB372" t="str">
        <f>HLOOKUP($Q$2,$AD$4:$AK$800,AD372)</f>
        <v>Free cell.</v>
      </c>
      <c r="AD372">
        <v>369</v>
      </c>
      <c r="AE372" t="s">
        <v>332</v>
      </c>
      <c r="AF372" t="s">
        <v>386</v>
      </c>
    </row>
    <row r="373" spans="27:32" x14ac:dyDescent="0.2">
      <c r="AA373" t="s">
        <v>390</v>
      </c>
      <c r="AB373" t="str">
        <f>HLOOKUP($Q$2,$AD$4:$AK$800,AD373)</f>
        <v>Free cell.</v>
      </c>
      <c r="AD373">
        <v>370</v>
      </c>
      <c r="AE373" t="s">
        <v>332</v>
      </c>
      <c r="AF373" t="s">
        <v>394</v>
      </c>
    </row>
    <row r="374" spans="27:32" x14ac:dyDescent="0.2">
      <c r="AA374" t="s">
        <v>398</v>
      </c>
      <c r="AB374" t="str">
        <f>HLOOKUP($Q$2,$AD$4:$AK$800,AD374)</f>
        <v>Free cell.</v>
      </c>
      <c r="AD374">
        <v>371</v>
      </c>
      <c r="AE374" t="s">
        <v>332</v>
      </c>
      <c r="AF374" t="s">
        <v>402</v>
      </c>
    </row>
    <row r="375" spans="27:32" x14ac:dyDescent="0.2">
      <c r="AA375" t="s">
        <v>406</v>
      </c>
      <c r="AB375" t="str">
        <f>HLOOKUP($Q$2,$AD$4:$AK$800,AD375)</f>
        <v>Free cell.</v>
      </c>
      <c r="AD375">
        <v>372</v>
      </c>
      <c r="AE375" t="s">
        <v>332</v>
      </c>
      <c r="AF375" t="s">
        <v>410</v>
      </c>
    </row>
    <row r="376" spans="27:32" x14ac:dyDescent="0.2">
      <c r="AA376" t="s">
        <v>414</v>
      </c>
      <c r="AB376" t="str">
        <f>HLOOKUP($Q$2,$AD$4:$AK$800,AD376)</f>
        <v>Free cell.</v>
      </c>
      <c r="AD376">
        <v>373</v>
      </c>
      <c r="AE376" t="s">
        <v>332</v>
      </c>
      <c r="AF376" t="s">
        <v>418</v>
      </c>
    </row>
    <row r="377" spans="27:32" x14ac:dyDescent="0.2">
      <c r="AA377" t="s">
        <v>422</v>
      </c>
      <c r="AB377" t="str">
        <f>HLOOKUP($Q$2,$AD$4:$AK$800,AD377)</f>
        <v>Free cell.</v>
      </c>
      <c r="AD377">
        <v>374</v>
      </c>
      <c r="AE377" t="s">
        <v>332</v>
      </c>
      <c r="AF377" t="s">
        <v>426</v>
      </c>
    </row>
    <row r="378" spans="27:32" x14ac:dyDescent="0.2">
      <c r="AA378" t="s">
        <v>430</v>
      </c>
      <c r="AB378" t="str">
        <f>HLOOKUP($Q$2,$AD$4:$AK$800,AD378)</f>
        <v>Free cell.</v>
      </c>
      <c r="AD378">
        <v>375</v>
      </c>
      <c r="AE378" t="s">
        <v>332</v>
      </c>
      <c r="AF378" t="s">
        <v>434</v>
      </c>
    </row>
    <row r="379" spans="27:32" x14ac:dyDescent="0.2">
      <c r="AA379" t="s">
        <v>438</v>
      </c>
      <c r="AB379" t="str">
        <f>HLOOKUP($Q$2,$AD$4:$AK$800,AD379)</f>
        <v>Free cell.</v>
      </c>
      <c r="AD379">
        <v>376</v>
      </c>
      <c r="AE379" t="s">
        <v>332</v>
      </c>
      <c r="AF379" t="s">
        <v>442</v>
      </c>
    </row>
    <row r="380" spans="27:32" x14ac:dyDescent="0.2">
      <c r="AA380" t="s">
        <v>446</v>
      </c>
      <c r="AB380" t="str">
        <f>HLOOKUP($Q$2,$AD$4:$AK$800,AD380)</f>
        <v>Free cell.</v>
      </c>
      <c r="AD380">
        <v>377</v>
      </c>
      <c r="AE380" t="s">
        <v>332</v>
      </c>
      <c r="AF380" t="s">
        <v>450</v>
      </c>
    </row>
    <row r="381" spans="27:32" x14ac:dyDescent="0.2">
      <c r="AA381" t="s">
        <v>454</v>
      </c>
      <c r="AB381" t="str">
        <f>HLOOKUP($Q$2,$AD$4:$AK$800,AD381)</f>
        <v>Free cell.</v>
      </c>
      <c r="AD381">
        <v>378</v>
      </c>
      <c r="AE381" t="s">
        <v>332</v>
      </c>
      <c r="AF381" t="s">
        <v>458</v>
      </c>
    </row>
    <row r="382" spans="27:32" x14ac:dyDescent="0.2">
      <c r="AA382" t="s">
        <v>462</v>
      </c>
      <c r="AB382" t="str">
        <f>HLOOKUP($Q$2,$AD$4:$AK$800,AD382)</f>
        <v>Free cell.</v>
      </c>
      <c r="AD382">
        <v>379</v>
      </c>
      <c r="AE382" t="s">
        <v>332</v>
      </c>
      <c r="AF382" t="s">
        <v>466</v>
      </c>
    </row>
    <row r="383" spans="27:32" x14ac:dyDescent="0.2">
      <c r="AA383" t="s">
        <v>470</v>
      </c>
      <c r="AB383" t="str">
        <f>HLOOKUP($Q$2,$AD$4:$AK$800,AD383)</f>
        <v>Free cell.</v>
      </c>
      <c r="AD383">
        <v>380</v>
      </c>
      <c r="AE383" t="s">
        <v>332</v>
      </c>
      <c r="AF383" t="s">
        <v>474</v>
      </c>
    </row>
    <row r="384" spans="27:32" x14ac:dyDescent="0.2">
      <c r="AA384" t="s">
        <v>478</v>
      </c>
      <c r="AB384" t="str">
        <f>HLOOKUP($Q$2,$AD$4:$AK$800,AD384)</f>
        <v>Free cell.</v>
      </c>
      <c r="AD384">
        <v>381</v>
      </c>
      <c r="AE384" t="s">
        <v>332</v>
      </c>
      <c r="AF384" t="s">
        <v>482</v>
      </c>
    </row>
    <row r="385" spans="27:32" x14ac:dyDescent="0.2">
      <c r="AA385" t="s">
        <v>486</v>
      </c>
      <c r="AB385" t="str">
        <f>HLOOKUP($Q$2,$AD$4:$AK$800,AD385)</f>
        <v>Free cell.</v>
      </c>
      <c r="AD385">
        <v>382</v>
      </c>
      <c r="AE385" t="s">
        <v>332</v>
      </c>
      <c r="AF385" t="s">
        <v>490</v>
      </c>
    </row>
    <row r="386" spans="27:32" x14ac:dyDescent="0.2">
      <c r="AA386" t="s">
        <v>494</v>
      </c>
      <c r="AB386" t="str">
        <f>HLOOKUP($Q$2,$AD$4:$AK$800,AD386)</f>
        <v>Free cell.</v>
      </c>
      <c r="AD386">
        <v>383</v>
      </c>
      <c r="AE386" t="s">
        <v>332</v>
      </c>
      <c r="AF386" t="s">
        <v>498</v>
      </c>
    </row>
    <row r="387" spans="27:32" x14ac:dyDescent="0.2">
      <c r="AA387" t="s">
        <v>502</v>
      </c>
      <c r="AB387" t="str">
        <f>HLOOKUP($Q$2,$AD$4:$AK$800,AD387)</f>
        <v>Free cell.</v>
      </c>
      <c r="AD387">
        <v>384</v>
      </c>
      <c r="AE387" t="s">
        <v>332</v>
      </c>
      <c r="AF387" t="s">
        <v>506</v>
      </c>
    </row>
    <row r="388" spans="27:32" x14ac:dyDescent="0.2">
      <c r="AA388" t="s">
        <v>510</v>
      </c>
      <c r="AB388" t="str">
        <f>HLOOKUP($Q$2,$AD$4:$AK$800,AD388)</f>
        <v>Free cell.</v>
      </c>
      <c r="AD388">
        <v>385</v>
      </c>
      <c r="AE388" t="s">
        <v>332</v>
      </c>
      <c r="AF388" t="s">
        <v>514</v>
      </c>
    </row>
    <row r="389" spans="27:32" x14ac:dyDescent="0.2">
      <c r="AA389" t="s">
        <v>518</v>
      </c>
      <c r="AB389" t="str">
        <f>HLOOKUP($Q$2,$AD$4:$AK$800,AD389)</f>
        <v>Free cell.</v>
      </c>
      <c r="AD389">
        <v>386</v>
      </c>
      <c r="AE389" t="s">
        <v>332</v>
      </c>
      <c r="AF389" t="s">
        <v>522</v>
      </c>
    </row>
    <row r="390" spans="27:32" x14ac:dyDescent="0.2">
      <c r="AA390" t="s">
        <v>526</v>
      </c>
      <c r="AB390" t="str">
        <f>HLOOKUP($Q$2,$AD$4:$AK$800,AD390)</f>
        <v>Free cell.</v>
      </c>
      <c r="AD390">
        <v>387</v>
      </c>
      <c r="AE390" t="s">
        <v>332</v>
      </c>
      <c r="AF390" t="s">
        <v>530</v>
      </c>
    </row>
    <row r="391" spans="27:32" x14ac:dyDescent="0.2">
      <c r="AA391" t="s">
        <v>534</v>
      </c>
      <c r="AB391" t="str">
        <f>HLOOKUP($Q$2,$AD$4:$AK$800,AD391)</f>
        <v>Free cell.</v>
      </c>
      <c r="AD391">
        <v>388</v>
      </c>
      <c r="AE391" t="s">
        <v>332</v>
      </c>
      <c r="AF391" t="s">
        <v>538</v>
      </c>
    </row>
    <row r="392" spans="27:32" x14ac:dyDescent="0.2">
      <c r="AA392" t="s">
        <v>542</v>
      </c>
      <c r="AB392" t="str">
        <f>HLOOKUP($Q$2,$AD$4:$AK$800,AD392)</f>
        <v>Free cell.</v>
      </c>
      <c r="AD392">
        <v>389</v>
      </c>
      <c r="AE392" t="s">
        <v>332</v>
      </c>
      <c r="AF392" t="s">
        <v>546</v>
      </c>
    </row>
    <row r="393" spans="27:32" x14ac:dyDescent="0.2">
      <c r="AA393" t="s">
        <v>550</v>
      </c>
      <c r="AB393" t="str">
        <f>HLOOKUP($Q$2,$AD$4:$AK$800,AD393)</f>
        <v>Free cell.</v>
      </c>
      <c r="AD393">
        <v>390</v>
      </c>
      <c r="AE393" t="s">
        <v>332</v>
      </c>
      <c r="AF393" t="s">
        <v>554</v>
      </c>
    </row>
    <row r="394" spans="27:32" x14ac:dyDescent="0.2">
      <c r="AA394" t="s">
        <v>558</v>
      </c>
      <c r="AB394" t="str">
        <f>HLOOKUP($Q$2,$AD$4:$AK$800,AD394)</f>
        <v>Free cell.</v>
      </c>
      <c r="AD394">
        <v>391</v>
      </c>
      <c r="AE394" t="s">
        <v>332</v>
      </c>
      <c r="AF394" t="s">
        <v>562</v>
      </c>
    </row>
    <row r="395" spans="27:32" x14ac:dyDescent="0.2">
      <c r="AA395" t="s">
        <v>566</v>
      </c>
      <c r="AB395" t="str">
        <f>HLOOKUP($Q$2,$AD$4:$AK$800,AD395)</f>
        <v>Free cell.</v>
      </c>
      <c r="AD395">
        <v>392</v>
      </c>
      <c r="AE395" t="s">
        <v>332</v>
      </c>
      <c r="AF395" t="s">
        <v>570</v>
      </c>
    </row>
    <row r="396" spans="27:32" x14ac:dyDescent="0.2">
      <c r="AA396" t="s">
        <v>574</v>
      </c>
      <c r="AB396" t="str">
        <f>HLOOKUP($Q$2,$AD$4:$AK$800,AD396)</f>
        <v>Free cell.</v>
      </c>
      <c r="AD396">
        <v>393</v>
      </c>
      <c r="AE396" t="s">
        <v>332</v>
      </c>
      <c r="AF396" t="s">
        <v>578</v>
      </c>
    </row>
    <row r="397" spans="27:32" x14ac:dyDescent="0.2">
      <c r="AA397" t="s">
        <v>582</v>
      </c>
      <c r="AB397" t="str">
        <f>HLOOKUP($Q$2,$AD$4:$AK$800,AD397)</f>
        <v>Free cell.</v>
      </c>
      <c r="AD397">
        <v>394</v>
      </c>
      <c r="AE397" t="s">
        <v>332</v>
      </c>
      <c r="AF397" t="s">
        <v>586</v>
      </c>
    </row>
    <row r="398" spans="27:32" x14ac:dyDescent="0.2">
      <c r="AA398" t="s">
        <v>590</v>
      </c>
      <c r="AB398" t="str">
        <f>HLOOKUP($Q$2,$AD$4:$AK$800,AD398)</f>
        <v>Free cell.</v>
      </c>
      <c r="AD398">
        <v>395</v>
      </c>
      <c r="AE398" t="s">
        <v>332</v>
      </c>
      <c r="AF398" t="s">
        <v>594</v>
      </c>
    </row>
    <row r="399" spans="27:32" x14ac:dyDescent="0.2">
      <c r="AA399" t="s">
        <v>598</v>
      </c>
      <c r="AB399" t="str">
        <f>HLOOKUP($Q$2,$AD$4:$AK$800,AD399)</f>
        <v>Free cell.</v>
      </c>
      <c r="AD399">
        <v>396</v>
      </c>
      <c r="AE399" t="s">
        <v>332</v>
      </c>
      <c r="AF399" t="s">
        <v>602</v>
      </c>
    </row>
    <row r="400" spans="27:32" x14ac:dyDescent="0.2">
      <c r="AA400" t="s">
        <v>606</v>
      </c>
      <c r="AB400" t="str">
        <f>HLOOKUP($Q$2,$AD$4:$AK$800,AD400)</f>
        <v>Free cell.</v>
      </c>
      <c r="AD400">
        <v>397</v>
      </c>
      <c r="AE400" t="s">
        <v>332</v>
      </c>
      <c r="AF400" t="s">
        <v>610</v>
      </c>
    </row>
    <row r="401" spans="27:32" x14ac:dyDescent="0.2">
      <c r="AA401" t="s">
        <v>614</v>
      </c>
      <c r="AB401" t="str">
        <f>HLOOKUP($Q$2,$AD$4:$AK$800,AD401)</f>
        <v>Free cell.</v>
      </c>
      <c r="AD401">
        <v>398</v>
      </c>
      <c r="AE401" t="s">
        <v>332</v>
      </c>
      <c r="AF401" t="s">
        <v>618</v>
      </c>
    </row>
    <row r="402" spans="27:32" x14ac:dyDescent="0.2">
      <c r="AA402" t="s">
        <v>622</v>
      </c>
      <c r="AB402" t="str">
        <f>HLOOKUP($Q$2,$AD$4:$AK$800,AD402)</f>
        <v>Free cell.</v>
      </c>
      <c r="AD402">
        <v>399</v>
      </c>
      <c r="AE402" t="s">
        <v>332</v>
      </c>
      <c r="AF402" t="s">
        <v>626</v>
      </c>
    </row>
    <row r="403" spans="27:32" x14ac:dyDescent="0.2">
      <c r="AA403" t="s">
        <v>630</v>
      </c>
      <c r="AB403" t="str">
        <f>HLOOKUP($Q$2,$AD$4:$AK$800,AD403)</f>
        <v>Free cell.</v>
      </c>
      <c r="AD403">
        <v>400</v>
      </c>
      <c r="AE403" t="s">
        <v>332</v>
      </c>
      <c r="AF403" t="s">
        <v>634</v>
      </c>
    </row>
    <row r="404" spans="27:32" x14ac:dyDescent="0.2">
      <c r="AA404" t="s">
        <v>326</v>
      </c>
      <c r="AB404" t="str">
        <f>HLOOKUP($Q$2,$AD$4:$AK$800,AD404)</f>
        <v>Free cell.</v>
      </c>
      <c r="AD404">
        <v>401</v>
      </c>
      <c r="AE404" t="s">
        <v>332</v>
      </c>
      <c r="AF404" t="s">
        <v>330</v>
      </c>
    </row>
    <row r="405" spans="27:32" x14ac:dyDescent="0.2">
      <c r="AA405" t="s">
        <v>335</v>
      </c>
      <c r="AB405" t="str">
        <f>HLOOKUP($Q$2,$AD$4:$AK$800,AD405)</f>
        <v>B/W (Black / White) button. This button allows you to change the background color of the coordinate system. There are three background settings. The button can be used at any time during work with the projects and does not influence the equations or the data. It is also possible to save any of the three configurations in the code for each project, so that when the project is loaded it does so with its personalized background. This button is linked to cell D2 for correct operation.</v>
      </c>
      <c r="AD405">
        <v>402</v>
      </c>
      <c r="AE405" t="s">
        <v>899</v>
      </c>
      <c r="AF405" t="s">
        <v>894</v>
      </c>
    </row>
    <row r="406" spans="27:32" x14ac:dyDescent="0.2">
      <c r="AA406" t="s">
        <v>340</v>
      </c>
      <c r="AB406" t="str">
        <f>HLOOKUP($Q$2,$AD$4:$AK$800,AD406)</f>
        <v xml:space="preserve">COLOR of the LABELS. UPDATE SHEET. With the conventional Excel tool change the background color of this cell and with this it will change the color of all the labels of the objects that are in the sheet, including the axis labels. To make the labels invisible, set a color equal to the background color. The button that appears in this cell is used to update changes that have been made in the project configuration or after entering data. </v>
      </c>
      <c r="AD406">
        <v>403</v>
      </c>
      <c r="AE406" t="s">
        <v>900</v>
      </c>
      <c r="AF406" t="s">
        <v>895</v>
      </c>
    </row>
    <row r="407" spans="27:32" x14ac:dyDescent="0.2">
      <c r="AA407" t="s">
        <v>345</v>
      </c>
      <c r="AB407" t="str">
        <f>HLOOKUP($Q$2,$AD$4:$AK$800,AD407)</f>
        <v>NAME and COLOR of the X AXIS. ROTATION in X. With the Excel conventional tool change the background color of this cell to change the color of the X axis. You can also customize the name of the axis X. To make the axis invisible, put the same background color here. The &gt;&gt;A button will consecutively rotate the coordinate system around the X axis (in the YZ position) the number of times indicated in cell I4 with a step in degrees indicated in cell I3</v>
      </c>
      <c r="AD407">
        <v>404</v>
      </c>
      <c r="AE407" t="s">
        <v>901</v>
      </c>
      <c r="AF407" t="s">
        <v>896</v>
      </c>
    </row>
    <row r="408" spans="27:32" x14ac:dyDescent="0.2">
      <c r="AA408" t="s">
        <v>350</v>
      </c>
      <c r="AB408" t="str">
        <f>HLOOKUP($Q$2,$AD$4:$AK$800,AD408)</f>
        <v>NAME and COLOR of the Y AXIS. ROTATION in Y. With the Excel conventional tool change the background color of this cell to change the color of the Y axis. You can also customize the name of the axis Y. To make the axis invisible, put the same background color here. The &gt;&gt;B button will consecutively rotate the coordinate system around the Y axis (in the YZ position) the number of times indicated in cell I4 with a step in degrees indicated in cell I3.</v>
      </c>
      <c r="AD408">
        <v>405</v>
      </c>
      <c r="AE408" t="s">
        <v>902</v>
      </c>
      <c r="AF408" t="s">
        <v>897</v>
      </c>
    </row>
    <row r="409" spans="27:32" x14ac:dyDescent="0.2">
      <c r="AA409" t="s">
        <v>355</v>
      </c>
      <c r="AB409" t="str">
        <f>HLOOKUP($Q$2,$AD$4:$AK$800,AD409)</f>
        <v>NAME and COLOR of the Z AXIS. ROTATION in Z. With the Excel conventional tool change the background color of this cell to change the color of the Z axis. You can also customize the name of the axis Z. To make the axis invisible, put the same background color here. The &gt;&gt;C button will consecutively rotate the coordinate system around the Z axis (in the YZ position) the number of times indicated in cell I4 with a step in degrees indicated in cell I3.</v>
      </c>
      <c r="AD409">
        <v>406</v>
      </c>
      <c r="AE409" t="s">
        <v>903</v>
      </c>
      <c r="AF409" t="s">
        <v>898</v>
      </c>
    </row>
    <row r="410" spans="27:32" x14ac:dyDescent="0.2">
      <c r="AA410" t="s">
        <v>360</v>
      </c>
      <c r="AB410" t="str">
        <f>HLOOKUP($Q$2,$AD$4:$AK$800,AD410)</f>
        <v>Free cell.</v>
      </c>
      <c r="AD410">
        <v>407</v>
      </c>
      <c r="AE410" t="s">
        <v>332</v>
      </c>
      <c r="AF410" t="s">
        <v>364</v>
      </c>
    </row>
    <row r="411" spans="27:32" x14ac:dyDescent="0.2">
      <c r="AA411" t="s">
        <v>367</v>
      </c>
      <c r="AB411" t="str">
        <f>HLOOKUP($Q$2,$AD$4:$AK$800,AD411)</f>
        <v>Free cell.</v>
      </c>
      <c r="AD411">
        <v>408</v>
      </c>
      <c r="AE411" t="s">
        <v>332</v>
      </c>
      <c r="AF411" t="s">
        <v>371</v>
      </c>
    </row>
    <row r="412" spans="27:32" x14ac:dyDescent="0.2">
      <c r="AA412" t="s">
        <v>375</v>
      </c>
      <c r="AB412" t="str">
        <f>HLOOKUP($Q$2,$AD$4:$AK$800,AD412)</f>
        <v>Free cell.</v>
      </c>
      <c r="AD412">
        <v>409</v>
      </c>
      <c r="AE412" t="s">
        <v>332</v>
      </c>
      <c r="AF412" t="s">
        <v>379</v>
      </c>
    </row>
    <row r="413" spans="27:32" x14ac:dyDescent="0.2">
      <c r="AA413" t="s">
        <v>383</v>
      </c>
      <c r="AB413" t="str">
        <f>HLOOKUP($Q$2,$AD$4:$AK$800,AD413)</f>
        <v>Free cell.</v>
      </c>
      <c r="AD413">
        <v>410</v>
      </c>
      <c r="AE413" t="s">
        <v>332</v>
      </c>
      <c r="AF413" t="s">
        <v>387</v>
      </c>
    </row>
    <row r="414" spans="27:32" x14ac:dyDescent="0.2">
      <c r="AA414" t="s">
        <v>391</v>
      </c>
      <c r="AB414" t="str">
        <f>HLOOKUP($Q$2,$AD$4:$AK$800,AD414)</f>
        <v>Free cell.</v>
      </c>
      <c r="AD414">
        <v>411</v>
      </c>
      <c r="AE414" t="s">
        <v>332</v>
      </c>
      <c r="AF414" t="s">
        <v>395</v>
      </c>
    </row>
    <row r="415" spans="27:32" x14ac:dyDescent="0.2">
      <c r="AA415" t="s">
        <v>399</v>
      </c>
      <c r="AB415" t="str">
        <f>HLOOKUP($Q$2,$AD$4:$AK$800,AD415)</f>
        <v>Free cell.</v>
      </c>
      <c r="AD415">
        <v>412</v>
      </c>
      <c r="AE415" t="s">
        <v>332</v>
      </c>
      <c r="AF415" t="s">
        <v>403</v>
      </c>
    </row>
    <row r="416" spans="27:32" x14ac:dyDescent="0.2">
      <c r="AA416" t="s">
        <v>407</v>
      </c>
      <c r="AB416" t="str">
        <f>HLOOKUP($Q$2,$AD$4:$AK$800,AD416)</f>
        <v>Free cell.</v>
      </c>
      <c r="AD416">
        <v>413</v>
      </c>
      <c r="AE416" t="s">
        <v>332</v>
      </c>
      <c r="AF416" t="s">
        <v>411</v>
      </c>
    </row>
    <row r="417" spans="27:32" x14ac:dyDescent="0.2">
      <c r="AA417" t="s">
        <v>415</v>
      </c>
      <c r="AB417" t="str">
        <f>HLOOKUP($Q$2,$AD$4:$AK$800,AD417)</f>
        <v>Free cell.</v>
      </c>
      <c r="AD417">
        <v>414</v>
      </c>
      <c r="AE417" t="s">
        <v>332</v>
      </c>
      <c r="AF417" t="s">
        <v>419</v>
      </c>
    </row>
    <row r="418" spans="27:32" x14ac:dyDescent="0.2">
      <c r="AA418" t="s">
        <v>423</v>
      </c>
      <c r="AB418" t="str">
        <f>HLOOKUP($Q$2,$AD$4:$AK$800,AD418)</f>
        <v>Free cell.</v>
      </c>
      <c r="AD418">
        <v>415</v>
      </c>
      <c r="AE418" t="s">
        <v>332</v>
      </c>
      <c r="AF418" t="s">
        <v>427</v>
      </c>
    </row>
    <row r="419" spans="27:32" x14ac:dyDescent="0.2">
      <c r="AA419" t="s">
        <v>431</v>
      </c>
      <c r="AB419" t="str">
        <f>HLOOKUP($Q$2,$AD$4:$AK$800,AD419)</f>
        <v>Free cell.</v>
      </c>
      <c r="AD419">
        <v>416</v>
      </c>
      <c r="AE419" t="s">
        <v>332</v>
      </c>
      <c r="AF419" t="s">
        <v>435</v>
      </c>
    </row>
    <row r="420" spans="27:32" x14ac:dyDescent="0.2">
      <c r="AA420" t="s">
        <v>439</v>
      </c>
      <c r="AB420" t="str">
        <f>HLOOKUP($Q$2,$AD$4:$AK$800,AD420)</f>
        <v>Free cell.</v>
      </c>
      <c r="AD420">
        <v>417</v>
      </c>
      <c r="AE420" t="s">
        <v>332</v>
      </c>
      <c r="AF420" t="s">
        <v>443</v>
      </c>
    </row>
    <row r="421" spans="27:32" x14ac:dyDescent="0.2">
      <c r="AA421" t="s">
        <v>447</v>
      </c>
      <c r="AB421" t="str">
        <f>HLOOKUP($Q$2,$AD$4:$AK$800,AD421)</f>
        <v>Free cell.</v>
      </c>
      <c r="AD421">
        <v>418</v>
      </c>
      <c r="AE421" t="s">
        <v>332</v>
      </c>
      <c r="AF421" t="s">
        <v>451</v>
      </c>
    </row>
    <row r="422" spans="27:32" x14ac:dyDescent="0.2">
      <c r="AA422" t="s">
        <v>455</v>
      </c>
      <c r="AB422" t="str">
        <f>HLOOKUP($Q$2,$AD$4:$AK$800,AD422)</f>
        <v>Free cell.</v>
      </c>
      <c r="AD422">
        <v>419</v>
      </c>
      <c r="AE422" t="s">
        <v>332</v>
      </c>
      <c r="AF422" t="s">
        <v>459</v>
      </c>
    </row>
    <row r="423" spans="27:32" x14ac:dyDescent="0.2">
      <c r="AA423" t="s">
        <v>463</v>
      </c>
      <c r="AB423" t="str">
        <f>HLOOKUP($Q$2,$AD$4:$AK$800,AD423)</f>
        <v>Free cell.</v>
      </c>
      <c r="AD423">
        <v>420</v>
      </c>
      <c r="AE423" t="s">
        <v>332</v>
      </c>
      <c r="AF423" t="s">
        <v>467</v>
      </c>
    </row>
    <row r="424" spans="27:32" x14ac:dyDescent="0.2">
      <c r="AA424" t="s">
        <v>471</v>
      </c>
      <c r="AB424" t="str">
        <f>HLOOKUP($Q$2,$AD$4:$AK$800,AD424)</f>
        <v>Free cell.</v>
      </c>
      <c r="AD424">
        <v>421</v>
      </c>
      <c r="AE424" t="s">
        <v>332</v>
      </c>
      <c r="AF424" t="s">
        <v>475</v>
      </c>
    </row>
    <row r="425" spans="27:32" x14ac:dyDescent="0.2">
      <c r="AA425" t="s">
        <v>479</v>
      </c>
      <c r="AB425" t="str">
        <f>HLOOKUP($Q$2,$AD$4:$AK$800,AD425)</f>
        <v>Free cell.</v>
      </c>
      <c r="AD425">
        <v>422</v>
      </c>
      <c r="AE425" t="s">
        <v>332</v>
      </c>
      <c r="AF425" t="s">
        <v>483</v>
      </c>
    </row>
    <row r="426" spans="27:32" x14ac:dyDescent="0.2">
      <c r="AA426" t="s">
        <v>487</v>
      </c>
      <c r="AB426" t="str">
        <f>HLOOKUP($Q$2,$AD$4:$AK$800,AD426)</f>
        <v>Free cell.</v>
      </c>
      <c r="AD426">
        <v>423</v>
      </c>
      <c r="AE426" t="s">
        <v>332</v>
      </c>
      <c r="AF426" t="s">
        <v>491</v>
      </c>
    </row>
    <row r="427" spans="27:32" x14ac:dyDescent="0.2">
      <c r="AA427" t="s">
        <v>495</v>
      </c>
      <c r="AB427" t="str">
        <f>HLOOKUP($Q$2,$AD$4:$AK$800,AD427)</f>
        <v>Free cell.</v>
      </c>
      <c r="AD427">
        <v>424</v>
      </c>
      <c r="AE427" t="s">
        <v>332</v>
      </c>
      <c r="AF427" t="s">
        <v>499</v>
      </c>
    </row>
    <row r="428" spans="27:32" x14ac:dyDescent="0.2">
      <c r="AA428" t="s">
        <v>503</v>
      </c>
      <c r="AB428" t="str">
        <f>HLOOKUP($Q$2,$AD$4:$AK$800,AD428)</f>
        <v>Free cell.</v>
      </c>
      <c r="AD428">
        <v>425</v>
      </c>
      <c r="AE428" t="s">
        <v>332</v>
      </c>
      <c r="AF428" t="s">
        <v>507</v>
      </c>
    </row>
    <row r="429" spans="27:32" x14ac:dyDescent="0.2">
      <c r="AA429" t="s">
        <v>511</v>
      </c>
      <c r="AB429" t="str">
        <f>HLOOKUP($Q$2,$AD$4:$AK$800,AD429)</f>
        <v>Free cell.</v>
      </c>
      <c r="AD429">
        <v>426</v>
      </c>
      <c r="AE429" t="s">
        <v>332</v>
      </c>
      <c r="AF429" t="s">
        <v>515</v>
      </c>
    </row>
    <row r="430" spans="27:32" x14ac:dyDescent="0.2">
      <c r="AA430" t="s">
        <v>519</v>
      </c>
      <c r="AB430" t="str">
        <f>HLOOKUP($Q$2,$AD$4:$AK$800,AD430)</f>
        <v>Free cell.</v>
      </c>
      <c r="AD430">
        <v>427</v>
      </c>
      <c r="AE430" t="s">
        <v>332</v>
      </c>
      <c r="AF430" t="s">
        <v>523</v>
      </c>
    </row>
    <row r="431" spans="27:32" x14ac:dyDescent="0.2">
      <c r="AA431" t="s">
        <v>527</v>
      </c>
      <c r="AB431" t="str">
        <f>HLOOKUP($Q$2,$AD$4:$AK$800,AD431)</f>
        <v>Free cell.</v>
      </c>
      <c r="AD431">
        <v>428</v>
      </c>
      <c r="AE431" t="s">
        <v>332</v>
      </c>
      <c r="AF431" t="s">
        <v>531</v>
      </c>
    </row>
    <row r="432" spans="27:32" x14ac:dyDescent="0.2">
      <c r="AA432" t="s">
        <v>535</v>
      </c>
      <c r="AB432" t="str">
        <f>HLOOKUP($Q$2,$AD$4:$AK$800,AD432)</f>
        <v>Free cell.</v>
      </c>
      <c r="AD432">
        <v>429</v>
      </c>
      <c r="AE432" t="s">
        <v>332</v>
      </c>
      <c r="AF432" t="s">
        <v>539</v>
      </c>
    </row>
    <row r="433" spans="27:32" x14ac:dyDescent="0.2">
      <c r="AA433" t="s">
        <v>543</v>
      </c>
      <c r="AB433" t="str">
        <f>HLOOKUP($Q$2,$AD$4:$AK$800,AD433)</f>
        <v>Free cell.</v>
      </c>
      <c r="AD433">
        <v>430</v>
      </c>
      <c r="AE433" t="s">
        <v>332</v>
      </c>
      <c r="AF433" t="s">
        <v>547</v>
      </c>
    </row>
    <row r="434" spans="27:32" x14ac:dyDescent="0.2">
      <c r="AA434" t="s">
        <v>551</v>
      </c>
      <c r="AB434" t="str">
        <f>HLOOKUP($Q$2,$AD$4:$AK$800,AD434)</f>
        <v>Free cell.</v>
      </c>
      <c r="AD434">
        <v>431</v>
      </c>
      <c r="AE434" t="s">
        <v>332</v>
      </c>
      <c r="AF434" t="s">
        <v>555</v>
      </c>
    </row>
    <row r="435" spans="27:32" x14ac:dyDescent="0.2">
      <c r="AA435" t="s">
        <v>559</v>
      </c>
      <c r="AB435" t="str">
        <f>HLOOKUP($Q$2,$AD$4:$AK$800,AD435)</f>
        <v>Free cell.</v>
      </c>
      <c r="AD435">
        <v>432</v>
      </c>
      <c r="AE435" t="s">
        <v>332</v>
      </c>
      <c r="AF435" t="s">
        <v>563</v>
      </c>
    </row>
    <row r="436" spans="27:32" x14ac:dyDescent="0.2">
      <c r="AA436" t="s">
        <v>567</v>
      </c>
      <c r="AB436" t="str">
        <f>HLOOKUP($Q$2,$AD$4:$AK$800,AD436)</f>
        <v>Free cell.</v>
      </c>
      <c r="AD436">
        <v>433</v>
      </c>
      <c r="AE436" t="s">
        <v>332</v>
      </c>
      <c r="AF436" t="s">
        <v>571</v>
      </c>
    </row>
    <row r="437" spans="27:32" x14ac:dyDescent="0.2">
      <c r="AA437" t="s">
        <v>575</v>
      </c>
      <c r="AB437" t="str">
        <f>HLOOKUP($Q$2,$AD$4:$AK$800,AD437)</f>
        <v>Free cell.</v>
      </c>
      <c r="AD437">
        <v>434</v>
      </c>
      <c r="AE437" t="s">
        <v>332</v>
      </c>
      <c r="AF437" t="s">
        <v>579</v>
      </c>
    </row>
    <row r="438" spans="27:32" x14ac:dyDescent="0.2">
      <c r="AA438" t="s">
        <v>583</v>
      </c>
      <c r="AB438" t="str">
        <f>HLOOKUP($Q$2,$AD$4:$AK$800,AD438)</f>
        <v>Free cell.</v>
      </c>
      <c r="AD438">
        <v>435</v>
      </c>
      <c r="AE438" t="s">
        <v>332</v>
      </c>
      <c r="AF438" t="s">
        <v>587</v>
      </c>
    </row>
    <row r="439" spans="27:32" x14ac:dyDescent="0.2">
      <c r="AA439" t="s">
        <v>591</v>
      </c>
      <c r="AB439" t="str">
        <f>HLOOKUP($Q$2,$AD$4:$AK$800,AD439)</f>
        <v>Free cell.</v>
      </c>
      <c r="AD439">
        <v>436</v>
      </c>
      <c r="AE439" t="s">
        <v>332</v>
      </c>
      <c r="AF439" t="s">
        <v>595</v>
      </c>
    </row>
    <row r="440" spans="27:32" x14ac:dyDescent="0.2">
      <c r="AA440" t="s">
        <v>599</v>
      </c>
      <c r="AB440" t="str">
        <f>HLOOKUP($Q$2,$AD$4:$AK$800,AD440)</f>
        <v>Free cell.</v>
      </c>
      <c r="AD440">
        <v>437</v>
      </c>
      <c r="AE440" t="s">
        <v>332</v>
      </c>
      <c r="AF440" t="s">
        <v>603</v>
      </c>
    </row>
    <row r="441" spans="27:32" x14ac:dyDescent="0.2">
      <c r="AA441" t="s">
        <v>607</v>
      </c>
      <c r="AB441" t="str">
        <f>HLOOKUP($Q$2,$AD$4:$AK$800,AD441)</f>
        <v>Free cell.</v>
      </c>
      <c r="AD441">
        <v>438</v>
      </c>
      <c r="AE441" t="s">
        <v>332</v>
      </c>
      <c r="AF441" t="s">
        <v>611</v>
      </c>
    </row>
    <row r="442" spans="27:32" x14ac:dyDescent="0.2">
      <c r="AA442" t="s">
        <v>615</v>
      </c>
      <c r="AB442" t="str">
        <f>HLOOKUP($Q$2,$AD$4:$AK$800,AD442)</f>
        <v>Free cell.</v>
      </c>
      <c r="AD442">
        <v>439</v>
      </c>
      <c r="AE442" t="s">
        <v>332</v>
      </c>
      <c r="AF442" t="s">
        <v>619</v>
      </c>
    </row>
    <row r="443" spans="27:32" x14ac:dyDescent="0.2">
      <c r="AA443" t="s">
        <v>623</v>
      </c>
      <c r="AB443" t="str">
        <f>HLOOKUP($Q$2,$AD$4:$AK$800,AD443)</f>
        <v>Free cell.</v>
      </c>
      <c r="AD443">
        <v>440</v>
      </c>
      <c r="AE443" t="s">
        <v>332</v>
      </c>
      <c r="AF443" t="s">
        <v>627</v>
      </c>
    </row>
    <row r="444" spans="27:32" x14ac:dyDescent="0.2">
      <c r="AA444" t="s">
        <v>631</v>
      </c>
      <c r="AB444" t="str">
        <f>HLOOKUP($Q$2,$AD$4:$AK$800,AD444)</f>
        <v>Free cell.</v>
      </c>
      <c r="AD444">
        <v>441</v>
      </c>
      <c r="AE444" t="s">
        <v>332</v>
      </c>
      <c r="AF444" t="s">
        <v>635</v>
      </c>
    </row>
    <row r="445" spans="27:32" x14ac:dyDescent="0.2">
      <c r="AA445" t="s">
        <v>327</v>
      </c>
      <c r="AB445" t="str">
        <f>HLOOKUP($Q$2,$AD$4:$AK$800,AD445)</f>
        <v>Free cell.</v>
      </c>
      <c r="AD445">
        <v>442</v>
      </c>
      <c r="AE445" t="s">
        <v>332</v>
      </c>
      <c r="AF445" t="s">
        <v>331</v>
      </c>
    </row>
    <row r="446" spans="27:32" x14ac:dyDescent="0.2">
      <c r="AA446" t="s">
        <v>336</v>
      </c>
      <c r="AB446" t="str">
        <f>HLOOKUP($Q$2,$AD$4:$AK$800,AD446)</f>
        <v>Custom XYZ view, with rotation in x of 0, in y of 15 and in z of 15 degrees. _x000D_Custom YZ view, with rotation in x of 0, in y of 0 and in z of 0 degrees. _x000D_The default values and language of the control panel can be customized in the CONFIG sheet.</v>
      </c>
      <c r="AD446">
        <v>443</v>
      </c>
      <c r="AE446" t="s">
        <v>910</v>
      </c>
      <c r="AF446" t="s">
        <v>904</v>
      </c>
    </row>
    <row r="447" spans="27:32" x14ac:dyDescent="0.2">
      <c r="AA447" t="s">
        <v>341</v>
      </c>
      <c r="AB447" t="str">
        <f>HLOOKUP($Q$2,$AD$4:$AK$800,AD447)</f>
        <v>Custom XY view from ABOVE with rotation in x of 0, in y of 90 and in z of 0 degrees. _x000D_Custom XZ view, with rotation in x of 0, in y of 0 and in z of 90 degrees. _x000D_The default values and language of the control panel can be customized in the CONFIG sheet.</v>
      </c>
      <c r="AD447">
        <v>444</v>
      </c>
      <c r="AE447" t="s">
        <v>911</v>
      </c>
      <c r="AF447" t="s">
        <v>905</v>
      </c>
    </row>
    <row r="448" spans="27:32" x14ac:dyDescent="0.2">
      <c r="AA448" t="s">
        <v>346</v>
      </c>
      <c r="AB448" t="str">
        <f>HLOOKUP($Q$2,$AD$4:$AK$800,AD448)</f>
        <v>Custom X rotation view. After customizing the X rotation angle (in degrees), to see the changes press the button located at F3._x000D_The default values and language of the control panel can be customized in the CONFIG sheet.</v>
      </c>
      <c r="AD448">
        <v>445</v>
      </c>
      <c r="AE448" t="s">
        <v>912</v>
      </c>
      <c r="AF448" t="s">
        <v>906</v>
      </c>
    </row>
    <row r="449" spans="27:32" x14ac:dyDescent="0.2">
      <c r="AA449" t="s">
        <v>351</v>
      </c>
      <c r="AB449" t="str">
        <f>HLOOKUP($Q$2,$AD$4:$AK$800,AD449)</f>
        <v>Custom Y rotation view. After customizing the Y rotation angle (in degrees), to see the changes press the button located at F3._x000D_The default values and language of the control panel can be customized in the CONFIG sheet.</v>
      </c>
      <c r="AD449">
        <v>446</v>
      </c>
      <c r="AE449" t="s">
        <v>913</v>
      </c>
      <c r="AF449" t="s">
        <v>907</v>
      </c>
    </row>
    <row r="450" spans="27:32" x14ac:dyDescent="0.2">
      <c r="AA450" t="s">
        <v>356</v>
      </c>
      <c r="AB450" t="str">
        <f>HLOOKUP($Q$2,$AD$4:$AK$800,AD450)</f>
        <v>Custom Z rotation view. After customizing the Z rotation angle (in degrees), to see the changes press the button located at F3._x000D_The default values and language of the control panel can be customized in the CONFIG sheet.</v>
      </c>
      <c r="AD450">
        <v>447</v>
      </c>
      <c r="AE450" t="s">
        <v>914</v>
      </c>
      <c r="AF450" t="s">
        <v>908</v>
      </c>
    </row>
    <row r="451" spans="27:32" x14ac:dyDescent="0.2">
      <c r="AA451" t="s">
        <v>361</v>
      </c>
      <c r="AB451" t="str">
        <f>HLOOKUP($Q$2,$AD$4:$AK$800,AD451)</f>
        <v>HELP MENU: _x000D_ 1. Select the cell you need help with._x000D_ 2. Press the help button (?)._x000D_ 3. For help on a button, select the cell below it and press the help button (?)._x000D_ 4. To hide the help press the button located at F3._x000D__x000D_ To inquire about a specific project, place the cursor over the HELP cell and read the pop-up comment.</v>
      </c>
      <c r="AD451">
        <v>448</v>
      </c>
      <c r="AE451" t="s">
        <v>915</v>
      </c>
      <c r="AF451" t="s">
        <v>909</v>
      </c>
    </row>
    <row r="452" spans="27:32" x14ac:dyDescent="0.2">
      <c r="AA452" t="s">
        <v>368</v>
      </c>
      <c r="AB452" t="str">
        <f>HLOOKUP($Q$2,$AD$4:$AK$800,AD452)</f>
        <v>Free cell.</v>
      </c>
      <c r="AD452">
        <v>449</v>
      </c>
      <c r="AE452" t="s">
        <v>332</v>
      </c>
      <c r="AF452" t="s">
        <v>372</v>
      </c>
    </row>
    <row r="453" spans="27:32" x14ac:dyDescent="0.2">
      <c r="AA453" t="s">
        <v>376</v>
      </c>
      <c r="AB453" t="str">
        <f>HLOOKUP($Q$2,$AD$4:$AK$800,AD453)</f>
        <v>Free cell.</v>
      </c>
      <c r="AD453">
        <v>450</v>
      </c>
      <c r="AE453" t="s">
        <v>332</v>
      </c>
      <c r="AF453" t="s">
        <v>380</v>
      </c>
    </row>
    <row r="454" spans="27:32" x14ac:dyDescent="0.2">
      <c r="AA454" t="s">
        <v>384</v>
      </c>
      <c r="AB454" t="str">
        <f>HLOOKUP($Q$2,$AD$4:$AK$800,AD454)</f>
        <v>Free cell.</v>
      </c>
      <c r="AD454">
        <v>451</v>
      </c>
      <c r="AE454" t="s">
        <v>332</v>
      </c>
      <c r="AF454" t="s">
        <v>388</v>
      </c>
    </row>
    <row r="455" spans="27:32" x14ac:dyDescent="0.2">
      <c r="AA455" t="s">
        <v>392</v>
      </c>
      <c r="AB455" t="str">
        <f>HLOOKUP($Q$2,$AD$4:$AK$800,AD455)</f>
        <v>Free cell.</v>
      </c>
      <c r="AD455">
        <v>452</v>
      </c>
      <c r="AE455" t="s">
        <v>332</v>
      </c>
      <c r="AF455" t="s">
        <v>396</v>
      </c>
    </row>
    <row r="456" spans="27:32" x14ac:dyDescent="0.2">
      <c r="AA456" t="s">
        <v>400</v>
      </c>
      <c r="AB456" t="str">
        <f>HLOOKUP($Q$2,$AD$4:$AK$800,AD456)</f>
        <v>Free cell.</v>
      </c>
      <c r="AD456">
        <v>453</v>
      </c>
      <c r="AE456" t="s">
        <v>332</v>
      </c>
      <c r="AF456" t="s">
        <v>404</v>
      </c>
    </row>
    <row r="457" spans="27:32" x14ac:dyDescent="0.2">
      <c r="AA457" t="s">
        <v>408</v>
      </c>
      <c r="AB457" t="str">
        <f>HLOOKUP($Q$2,$AD$4:$AK$800,AD457)</f>
        <v>Free cell.</v>
      </c>
      <c r="AD457">
        <v>454</v>
      </c>
      <c r="AE457" t="s">
        <v>332</v>
      </c>
      <c r="AF457" t="s">
        <v>412</v>
      </c>
    </row>
    <row r="458" spans="27:32" x14ac:dyDescent="0.2">
      <c r="AA458" t="s">
        <v>416</v>
      </c>
      <c r="AB458" t="str">
        <f>HLOOKUP($Q$2,$AD$4:$AK$800,AD458)</f>
        <v>Free cell.</v>
      </c>
      <c r="AD458">
        <v>455</v>
      </c>
      <c r="AE458" t="s">
        <v>332</v>
      </c>
      <c r="AF458" t="s">
        <v>420</v>
      </c>
    </row>
    <row r="459" spans="27:32" x14ac:dyDescent="0.2">
      <c r="AA459" t="s">
        <v>424</v>
      </c>
      <c r="AB459" t="str">
        <f>HLOOKUP($Q$2,$AD$4:$AK$800,AD459)</f>
        <v>Free cell.</v>
      </c>
      <c r="AD459">
        <v>456</v>
      </c>
      <c r="AE459" t="s">
        <v>332</v>
      </c>
      <c r="AF459" t="s">
        <v>428</v>
      </c>
    </row>
    <row r="460" spans="27:32" x14ac:dyDescent="0.2">
      <c r="AA460" t="s">
        <v>432</v>
      </c>
      <c r="AB460" t="str">
        <f>HLOOKUP($Q$2,$AD$4:$AK$800,AD460)</f>
        <v>Free cell.</v>
      </c>
      <c r="AD460">
        <v>457</v>
      </c>
      <c r="AE460" t="s">
        <v>332</v>
      </c>
      <c r="AF460" t="s">
        <v>436</v>
      </c>
    </row>
    <row r="461" spans="27:32" x14ac:dyDescent="0.2">
      <c r="AA461" t="s">
        <v>440</v>
      </c>
      <c r="AB461" t="str">
        <f>HLOOKUP($Q$2,$AD$4:$AK$800,AD461)</f>
        <v>Free cell.</v>
      </c>
      <c r="AD461">
        <v>458</v>
      </c>
      <c r="AE461" t="s">
        <v>332</v>
      </c>
      <c r="AF461" t="s">
        <v>444</v>
      </c>
    </row>
    <row r="462" spans="27:32" x14ac:dyDescent="0.2">
      <c r="AA462" t="s">
        <v>448</v>
      </c>
      <c r="AB462" t="str">
        <f>HLOOKUP($Q$2,$AD$4:$AK$800,AD462)</f>
        <v>Free cell.</v>
      </c>
      <c r="AD462">
        <v>459</v>
      </c>
      <c r="AE462" t="s">
        <v>332</v>
      </c>
      <c r="AF462" t="s">
        <v>452</v>
      </c>
    </row>
    <row r="463" spans="27:32" x14ac:dyDescent="0.2">
      <c r="AA463" t="s">
        <v>456</v>
      </c>
      <c r="AB463" t="str">
        <f>HLOOKUP($Q$2,$AD$4:$AK$800,AD463)</f>
        <v>Free cell.</v>
      </c>
      <c r="AD463">
        <v>460</v>
      </c>
      <c r="AE463" t="s">
        <v>332</v>
      </c>
      <c r="AF463" t="s">
        <v>460</v>
      </c>
    </row>
    <row r="464" spans="27:32" x14ac:dyDescent="0.2">
      <c r="AA464" t="s">
        <v>464</v>
      </c>
      <c r="AB464" t="str">
        <f>HLOOKUP($Q$2,$AD$4:$AK$800,AD464)</f>
        <v>Free cell.</v>
      </c>
      <c r="AD464">
        <v>461</v>
      </c>
      <c r="AE464" t="s">
        <v>332</v>
      </c>
      <c r="AF464" t="s">
        <v>468</v>
      </c>
    </row>
    <row r="465" spans="27:32" x14ac:dyDescent="0.2">
      <c r="AA465" t="s">
        <v>472</v>
      </c>
      <c r="AB465" t="str">
        <f>HLOOKUP($Q$2,$AD$4:$AK$800,AD465)</f>
        <v>Free cell.</v>
      </c>
      <c r="AD465">
        <v>462</v>
      </c>
      <c r="AE465" t="s">
        <v>332</v>
      </c>
      <c r="AF465" t="s">
        <v>476</v>
      </c>
    </row>
    <row r="466" spans="27:32" x14ac:dyDescent="0.2">
      <c r="AA466" t="s">
        <v>480</v>
      </c>
      <c r="AB466" t="str">
        <f>HLOOKUP($Q$2,$AD$4:$AK$800,AD466)</f>
        <v>Free cell.</v>
      </c>
      <c r="AD466">
        <v>463</v>
      </c>
      <c r="AE466" t="s">
        <v>332</v>
      </c>
      <c r="AF466" t="s">
        <v>484</v>
      </c>
    </row>
    <row r="467" spans="27:32" x14ac:dyDescent="0.2">
      <c r="AA467" t="s">
        <v>488</v>
      </c>
      <c r="AB467" t="str">
        <f>HLOOKUP($Q$2,$AD$4:$AK$800,AD467)</f>
        <v>Free cell.</v>
      </c>
      <c r="AD467">
        <v>464</v>
      </c>
      <c r="AE467" t="s">
        <v>332</v>
      </c>
      <c r="AF467" t="s">
        <v>492</v>
      </c>
    </row>
    <row r="468" spans="27:32" x14ac:dyDescent="0.2">
      <c r="AA468" t="s">
        <v>496</v>
      </c>
      <c r="AB468" t="str">
        <f>HLOOKUP($Q$2,$AD$4:$AK$800,AD468)</f>
        <v>Free cell.</v>
      </c>
      <c r="AD468">
        <v>465</v>
      </c>
      <c r="AE468" t="s">
        <v>332</v>
      </c>
      <c r="AF468" t="s">
        <v>500</v>
      </c>
    </row>
    <row r="469" spans="27:32" x14ac:dyDescent="0.2">
      <c r="AA469" t="s">
        <v>504</v>
      </c>
      <c r="AB469" t="str">
        <f>HLOOKUP($Q$2,$AD$4:$AK$800,AD469)</f>
        <v>Free cell.</v>
      </c>
      <c r="AD469">
        <v>466</v>
      </c>
      <c r="AE469" t="s">
        <v>332</v>
      </c>
      <c r="AF469" t="s">
        <v>508</v>
      </c>
    </row>
    <row r="470" spans="27:32" x14ac:dyDescent="0.2">
      <c r="AA470" t="s">
        <v>512</v>
      </c>
      <c r="AB470" t="str">
        <f>HLOOKUP($Q$2,$AD$4:$AK$800,AD470)</f>
        <v>Free cell.</v>
      </c>
      <c r="AD470">
        <v>467</v>
      </c>
      <c r="AE470" t="s">
        <v>332</v>
      </c>
      <c r="AF470" t="s">
        <v>516</v>
      </c>
    </row>
    <row r="471" spans="27:32" x14ac:dyDescent="0.2">
      <c r="AA471" t="s">
        <v>520</v>
      </c>
      <c r="AB471" t="str">
        <f>HLOOKUP($Q$2,$AD$4:$AK$800,AD471)</f>
        <v>Free cell.</v>
      </c>
      <c r="AD471">
        <v>468</v>
      </c>
      <c r="AE471" t="s">
        <v>332</v>
      </c>
      <c r="AF471" t="s">
        <v>524</v>
      </c>
    </row>
    <row r="472" spans="27:32" x14ac:dyDescent="0.2">
      <c r="AA472" t="s">
        <v>528</v>
      </c>
      <c r="AB472" t="str">
        <f>HLOOKUP($Q$2,$AD$4:$AK$800,AD472)</f>
        <v>Free cell.</v>
      </c>
      <c r="AD472">
        <v>469</v>
      </c>
      <c r="AE472" t="s">
        <v>332</v>
      </c>
      <c r="AF472" t="s">
        <v>532</v>
      </c>
    </row>
    <row r="473" spans="27:32" x14ac:dyDescent="0.2">
      <c r="AA473" t="s">
        <v>536</v>
      </c>
      <c r="AB473" t="str">
        <f>HLOOKUP($Q$2,$AD$4:$AK$800,AD473)</f>
        <v>Free cell.</v>
      </c>
      <c r="AD473">
        <v>470</v>
      </c>
      <c r="AE473" t="s">
        <v>332</v>
      </c>
      <c r="AF473" t="s">
        <v>540</v>
      </c>
    </row>
    <row r="474" spans="27:32" x14ac:dyDescent="0.2">
      <c r="AA474" t="s">
        <v>544</v>
      </c>
      <c r="AB474" t="str">
        <f>HLOOKUP($Q$2,$AD$4:$AK$800,AD474)</f>
        <v>Free cell.</v>
      </c>
      <c r="AD474">
        <v>471</v>
      </c>
      <c r="AE474" t="s">
        <v>332</v>
      </c>
      <c r="AF474" t="s">
        <v>548</v>
      </c>
    </row>
    <row r="475" spans="27:32" x14ac:dyDescent="0.2">
      <c r="AA475" t="s">
        <v>552</v>
      </c>
      <c r="AB475" t="str">
        <f>HLOOKUP($Q$2,$AD$4:$AK$800,AD475)</f>
        <v>Free cell.</v>
      </c>
      <c r="AD475">
        <v>472</v>
      </c>
      <c r="AE475" t="s">
        <v>332</v>
      </c>
      <c r="AF475" t="s">
        <v>556</v>
      </c>
    </row>
    <row r="476" spans="27:32" x14ac:dyDescent="0.2">
      <c r="AA476" t="s">
        <v>560</v>
      </c>
      <c r="AB476" t="str">
        <f>HLOOKUP($Q$2,$AD$4:$AK$800,AD476)</f>
        <v>Free cell.</v>
      </c>
      <c r="AD476">
        <v>473</v>
      </c>
      <c r="AE476" t="s">
        <v>332</v>
      </c>
      <c r="AF476" t="s">
        <v>564</v>
      </c>
    </row>
    <row r="477" spans="27:32" x14ac:dyDescent="0.2">
      <c r="AA477" t="s">
        <v>568</v>
      </c>
      <c r="AB477" t="str">
        <f>HLOOKUP($Q$2,$AD$4:$AK$800,AD477)</f>
        <v>Free cell.</v>
      </c>
      <c r="AD477">
        <v>474</v>
      </c>
      <c r="AE477" t="s">
        <v>332</v>
      </c>
      <c r="AF477" t="s">
        <v>572</v>
      </c>
    </row>
    <row r="478" spans="27:32" x14ac:dyDescent="0.2">
      <c r="AA478" t="s">
        <v>576</v>
      </c>
      <c r="AB478" t="str">
        <f>HLOOKUP($Q$2,$AD$4:$AK$800,AD478)</f>
        <v>Free cell.</v>
      </c>
      <c r="AD478">
        <v>475</v>
      </c>
      <c r="AE478" t="s">
        <v>332</v>
      </c>
      <c r="AF478" t="s">
        <v>580</v>
      </c>
    </row>
    <row r="479" spans="27:32" x14ac:dyDescent="0.2">
      <c r="AA479" t="s">
        <v>584</v>
      </c>
      <c r="AB479" t="str">
        <f>HLOOKUP($Q$2,$AD$4:$AK$800,AD479)</f>
        <v>Free cell.</v>
      </c>
      <c r="AD479">
        <v>476</v>
      </c>
      <c r="AE479" t="s">
        <v>332</v>
      </c>
      <c r="AF479" t="s">
        <v>588</v>
      </c>
    </row>
    <row r="480" spans="27:32" x14ac:dyDescent="0.2">
      <c r="AA480" t="s">
        <v>592</v>
      </c>
      <c r="AB480" t="str">
        <f>HLOOKUP($Q$2,$AD$4:$AK$800,AD480)</f>
        <v>Free cell.</v>
      </c>
      <c r="AD480">
        <v>477</v>
      </c>
      <c r="AE480" t="s">
        <v>332</v>
      </c>
      <c r="AF480" t="s">
        <v>596</v>
      </c>
    </row>
    <row r="481" spans="27:32" x14ac:dyDescent="0.2">
      <c r="AA481" t="s">
        <v>600</v>
      </c>
      <c r="AB481" t="str">
        <f>HLOOKUP($Q$2,$AD$4:$AK$800,AD481)</f>
        <v>Free cell.</v>
      </c>
      <c r="AD481">
        <v>478</v>
      </c>
      <c r="AE481" t="s">
        <v>332</v>
      </c>
      <c r="AF481" t="s">
        <v>604</v>
      </c>
    </row>
    <row r="482" spans="27:32" x14ac:dyDescent="0.2">
      <c r="AA482" t="s">
        <v>608</v>
      </c>
      <c r="AB482" t="str">
        <f>HLOOKUP($Q$2,$AD$4:$AK$800,AD482)</f>
        <v>Free cell.</v>
      </c>
      <c r="AD482">
        <v>479</v>
      </c>
      <c r="AE482" t="s">
        <v>332</v>
      </c>
      <c r="AF482" t="s">
        <v>612</v>
      </c>
    </row>
    <row r="483" spans="27:32" x14ac:dyDescent="0.2">
      <c r="AA483" t="s">
        <v>616</v>
      </c>
      <c r="AB483" t="str">
        <f>HLOOKUP($Q$2,$AD$4:$AK$800,AD483)</f>
        <v>Free cell.</v>
      </c>
      <c r="AD483">
        <v>480</v>
      </c>
      <c r="AE483" t="s">
        <v>332</v>
      </c>
      <c r="AF483" t="s">
        <v>620</v>
      </c>
    </row>
    <row r="484" spans="27:32" x14ac:dyDescent="0.2">
      <c r="AA484" t="s">
        <v>624</v>
      </c>
      <c r="AB484" t="str">
        <f>HLOOKUP($Q$2,$AD$4:$AK$800,AD484)</f>
        <v>Free cell.</v>
      </c>
      <c r="AD484">
        <v>481</v>
      </c>
      <c r="AE484" t="s">
        <v>332</v>
      </c>
      <c r="AF484" t="s">
        <v>628</v>
      </c>
    </row>
    <row r="485" spans="27:32" x14ac:dyDescent="0.2">
      <c r="AA485" t="s">
        <v>632</v>
      </c>
      <c r="AB485" t="str">
        <f>HLOOKUP($Q$2,$AD$4:$AK$800,AD485)</f>
        <v>Free cell.</v>
      </c>
      <c r="AD485">
        <v>482</v>
      </c>
      <c r="AE485" t="s">
        <v>332</v>
      </c>
      <c r="AF485" t="s">
        <v>636</v>
      </c>
    </row>
    <row r="486" spans="27:32" x14ac:dyDescent="0.2">
      <c r="AA486" t="s">
        <v>637</v>
      </c>
      <c r="AB486" t="str">
        <f>HLOOKUP($Q$2,$AD$4:$AK$800,AD486)</f>
        <v>Cell H1. Free cell.</v>
      </c>
      <c r="AD486">
        <v>483</v>
      </c>
      <c r="AE486" t="s">
        <v>639</v>
      </c>
      <c r="AF486" t="s">
        <v>638</v>
      </c>
    </row>
    <row r="487" spans="27:32" x14ac:dyDescent="0.2">
      <c r="AA487" t="s">
        <v>640</v>
      </c>
      <c r="AB487" t="str">
        <f>HLOOKUP($Q$2,$AD$4:$AK$800,AD487)</f>
        <v>Cell H2. Free cell.</v>
      </c>
      <c r="AD487">
        <v>484</v>
      </c>
      <c r="AE487" t="s">
        <v>642</v>
      </c>
      <c r="AF487" t="s">
        <v>641</v>
      </c>
    </row>
    <row r="488" spans="27:32" x14ac:dyDescent="0.2">
      <c r="AA488" t="s">
        <v>643</v>
      </c>
      <c r="AB488" t="str">
        <f>HLOOKUP($Q$2,$AD$4:$AK$800,AD488)</f>
        <v>Cell H3. Free cell.</v>
      </c>
      <c r="AD488">
        <v>485</v>
      </c>
      <c r="AE488" t="s">
        <v>645</v>
      </c>
      <c r="AF488" t="s">
        <v>644</v>
      </c>
    </row>
    <row r="489" spans="27:32" x14ac:dyDescent="0.2">
      <c r="AA489" t="s">
        <v>646</v>
      </c>
      <c r="AB489" t="str">
        <f>HLOOKUP($Q$2,$AD$4:$AK$800,AD489)</f>
        <v>Cell H4. Free cell.</v>
      </c>
      <c r="AD489">
        <v>486</v>
      </c>
      <c r="AE489" t="s">
        <v>648</v>
      </c>
      <c r="AF489" t="s">
        <v>647</v>
      </c>
    </row>
    <row r="490" spans="27:32" x14ac:dyDescent="0.2">
      <c r="AA490" t="s">
        <v>649</v>
      </c>
      <c r="AB490" t="str">
        <f>HLOOKUP($Q$2,$AD$4:$AK$800,AD490)</f>
        <v>Cell H5. Free cell.</v>
      </c>
      <c r="AD490">
        <v>487</v>
      </c>
      <c r="AE490" t="s">
        <v>651</v>
      </c>
      <c r="AF490" t="s">
        <v>650</v>
      </c>
    </row>
    <row r="491" spans="27:32" x14ac:dyDescent="0.2">
      <c r="AA491" t="s">
        <v>652</v>
      </c>
      <c r="AB491" t="str">
        <f>HLOOKUP($Q$2,$AD$4:$AK$800,AD491)</f>
        <v>Cell I1. Free cell.</v>
      </c>
      <c r="AD491">
        <v>488</v>
      </c>
      <c r="AE491" t="s">
        <v>654</v>
      </c>
      <c r="AF491" t="s">
        <v>653</v>
      </c>
    </row>
    <row r="492" spans="27:32" x14ac:dyDescent="0.2">
      <c r="AA492" t="s">
        <v>655</v>
      </c>
      <c r="AB492" t="str">
        <f>HLOOKUP($Q$2,$AD$4:$AK$800,AD492)</f>
        <v>Cell I2. Free cell.</v>
      </c>
      <c r="AD492">
        <v>489</v>
      </c>
      <c r="AE492" t="s">
        <v>657</v>
      </c>
      <c r="AF492" t="s">
        <v>656</v>
      </c>
    </row>
    <row r="493" spans="27:32" x14ac:dyDescent="0.2">
      <c r="AA493" t="s">
        <v>658</v>
      </c>
      <c r="AB493" t="str">
        <f>HLOOKUP($Q$2,$AD$4:$AK$800,AD493)</f>
        <v>In this cell the step value is entered for a dynamic simulation, where a certain model parameter can change consecutively, such as the time parameter, in this case the unit of time is entered here, that is, 1. By default, the value from the CONFIG sheet is entered, but you can change this value to whatever is necessary for your model. The preset number 8 corresponds to 8 degrees, since 8 x 45 = 360, which is frequently used for the rotation of the axes.</v>
      </c>
      <c r="AD493">
        <v>490</v>
      </c>
      <c r="AE493" t="s">
        <v>919</v>
      </c>
      <c r="AF493" t="s">
        <v>916</v>
      </c>
    </row>
    <row r="494" spans="27:32" x14ac:dyDescent="0.2">
      <c r="AA494" t="s">
        <v>659</v>
      </c>
      <c r="AB494" t="str">
        <f>HLOOKUP($Q$2,$AD$4:$AK$800,AD494)</f>
        <v>In this cell you enter the number of steps for a dynamic simulation, where a certain model parameter can change consecutively, such as the time parameter, where the number of seconds of the simulation is entered in this cell, by default 45. By default the value from the CONFIG sheet is entered, but you can change this value to whatever is necessary for your model. The preset number 45 is set in degrees to one full revolution , since 8 x 45 = 360, which is frequently used for the rotation of the axes.</v>
      </c>
      <c r="AD494">
        <v>491</v>
      </c>
      <c r="AE494" t="s">
        <v>920</v>
      </c>
      <c r="AF494" t="s">
        <v>917</v>
      </c>
    </row>
    <row r="495" spans="27:32" x14ac:dyDescent="0.2">
      <c r="AA495" t="s">
        <v>660</v>
      </c>
      <c r="AB495" t="str">
        <f>HLOOKUP($Q$2,$AD$4:$AK$800,AD495)</f>
        <v>In this cell the parameter for a dynamic simulation is entered, which can change consecutively, such as the time parameter, in this case the variable t is entered here, that is, this cell must take the place of the variable t of a dynamic mathematical equation. As an illustration of the functioning of this cell, you can see the project PARABOLIC MOTION.</v>
      </c>
      <c r="AD495">
        <v>492</v>
      </c>
      <c r="AE495" t="s">
        <v>921</v>
      </c>
      <c r="AF495" t="s">
        <v>918</v>
      </c>
    </row>
    <row r="496" spans="27:32" x14ac:dyDescent="0.2">
      <c r="AA496" t="s">
        <v>661</v>
      </c>
      <c r="AB496" t="str">
        <f>HLOOKUP($Q$2,$AD$4:$AK$800,AD496)</f>
        <v>Cell J1. Free cell.</v>
      </c>
      <c r="AD496">
        <v>493</v>
      </c>
      <c r="AE496" t="s">
        <v>663</v>
      </c>
      <c r="AF496" t="s">
        <v>662</v>
      </c>
    </row>
    <row r="497" spans="27:32" x14ac:dyDescent="0.2">
      <c r="AA497" t="s">
        <v>664</v>
      </c>
      <c r="AB497" t="str">
        <f>HLOOKUP($Q$2,$AD$4:$AK$800,AD497)</f>
        <v>The button located in this cell is intended to hide or show the vector and model configuration columns, that is, the first 5 columns.</v>
      </c>
      <c r="AD497">
        <v>494</v>
      </c>
      <c r="AE497" t="s">
        <v>926</v>
      </c>
      <c r="AF497" t="s">
        <v>922</v>
      </c>
    </row>
    <row r="498" spans="27:32" x14ac:dyDescent="0.2">
      <c r="AA498" t="s">
        <v>665</v>
      </c>
      <c r="AB498" t="str">
        <f>HLOOKUP($Q$2,$AD$4:$AK$800,AD498)</f>
        <v>When you press this button, the active cell in the spreadsheet will act as a dynamic forward parameter. To see how it works, select an empty cell and press this button, you will notice that the cell changes its value consecutively. This button is useful to quickly check the behavior of variables in a model with different values, simply by selecting the variable cell and pressing this button.</v>
      </c>
      <c r="AD498">
        <v>495</v>
      </c>
      <c r="AE498" t="s">
        <v>927</v>
      </c>
      <c r="AF498" t="s">
        <v>923</v>
      </c>
    </row>
    <row r="499" spans="27:32" x14ac:dyDescent="0.2">
      <c r="AA499" t="s">
        <v>666</v>
      </c>
      <c r="AB499" t="str">
        <f>HLOOKUP($Q$2,$AD$4:$AK$800,AD499)</f>
        <v>When you press this button, the active cell in the spreadsheet will act as a dynamic back parameter. To see how it works, select an empty cell and press this button, you will notice that the cell changes its value consecutively. This button is useful to quickly check the behavior of variables in a model with different values, simply by selecting the variable cell and pressing this button.</v>
      </c>
      <c r="AD499">
        <v>496</v>
      </c>
      <c r="AE499" t="s">
        <v>928</v>
      </c>
      <c r="AF499" t="s">
        <v>924</v>
      </c>
    </row>
    <row r="500" spans="27:32" x14ac:dyDescent="0.2">
      <c r="AA500" t="s">
        <v>667</v>
      </c>
      <c r="AB500" t="str">
        <f>HLOOKUP($Q$2,$AD$4:$AK$800,AD500)</f>
        <v>&lt;&lt;-- sets the dynamic parameter to zero. _x000D_&lt;- goes back one step.</v>
      </c>
      <c r="AD500">
        <v>497</v>
      </c>
      <c r="AE500" t="s">
        <v>929</v>
      </c>
      <c r="AF500" t="s">
        <v>925</v>
      </c>
    </row>
    <row r="501" spans="27:32" x14ac:dyDescent="0.2">
      <c r="AA501" t="s">
        <v>668</v>
      </c>
      <c r="AB501" t="str">
        <f>HLOOKUP($Q$2,$AD$4:$AK$800,AD501)</f>
        <v>Cell K1. Free cell.</v>
      </c>
      <c r="AD501">
        <v>498</v>
      </c>
      <c r="AE501" t="s">
        <v>670</v>
      </c>
      <c r="AF501" t="s">
        <v>669</v>
      </c>
    </row>
    <row r="502" spans="27:32" x14ac:dyDescent="0.2">
      <c r="AA502" t="s">
        <v>671</v>
      </c>
      <c r="AB502" t="str">
        <f>HLOOKUP($Q$2,$AD$4:$AK$800,AD502)</f>
        <v>Help button. Select any cell on the sheet and press this button to get help on the selected cell.</v>
      </c>
      <c r="AD502">
        <v>499</v>
      </c>
      <c r="AE502" t="s">
        <v>934</v>
      </c>
      <c r="AF502" t="s">
        <v>930</v>
      </c>
    </row>
    <row r="503" spans="27:32" x14ac:dyDescent="0.2">
      <c r="AA503" t="s">
        <v>672</v>
      </c>
      <c r="AB503" t="str">
        <f>HLOOKUP($Q$2,$AD$4:$AK$800,AD503)</f>
        <v>Help comment. Place the cursor over this cell for help on the current project. To edit the comment information and customize it for your own project, right-click and select EDIT COMMENT. New or edited information will only be saved after pressing the CODE button.</v>
      </c>
      <c r="AD503">
        <v>500</v>
      </c>
      <c r="AE503" t="s">
        <v>935</v>
      </c>
      <c r="AF503" t="s">
        <v>931</v>
      </c>
    </row>
    <row r="504" spans="27:32" x14ac:dyDescent="0.2">
      <c r="AA504" t="s">
        <v>673</v>
      </c>
      <c r="AB504" t="str">
        <f>HLOOKUP($Q$2,$AD$4:$AK$800,AD504)</f>
        <v>Current version of the ScienSolar package.</v>
      </c>
      <c r="AD504">
        <v>501</v>
      </c>
      <c r="AE504" t="s">
        <v>936</v>
      </c>
      <c r="AF504" t="s">
        <v>932</v>
      </c>
    </row>
    <row r="505" spans="27:32" x14ac:dyDescent="0.2">
      <c r="AA505" t="s">
        <v>674</v>
      </c>
      <c r="AB505" t="str">
        <f>HLOOKUP($Q$2,$AD$4:$AK$800,AD505)</f>
        <v>Run a simulation. This button only works if cell I5 is linked to a variable or parameter. To see its function in more detail, open a new sheet and download the PARABOLIC MOTION project, select cell B39 corresponding to the y-axis component of velocity, note that its formula is linked to cell I5 by the equation v_y = v_oy + a_y t.</v>
      </c>
      <c r="AD505">
        <v>502</v>
      </c>
      <c r="AE505" t="s">
        <v>937</v>
      </c>
      <c r="AF505" t="s">
        <v>933</v>
      </c>
    </row>
    <row r="506" spans="27:32" x14ac:dyDescent="0.2">
      <c r="AA506" t="s">
        <v>675</v>
      </c>
      <c r="AB506" t="str">
        <f>HLOOKUP($Q$2,$AD$4:$AK$800,AD506)</f>
        <v>Cell L1. Free cell.</v>
      </c>
      <c r="AD506">
        <v>503</v>
      </c>
      <c r="AE506" t="s">
        <v>677</v>
      </c>
      <c r="AF506" t="s">
        <v>676</v>
      </c>
    </row>
    <row r="507" spans="27:32" x14ac:dyDescent="0.2">
      <c r="AA507" t="s">
        <v>678</v>
      </c>
      <c r="AB507" t="str">
        <f>HLOOKUP($Q$2,$AD$4:$AK$800,AD507)</f>
        <v>Cell L2. Free cell.</v>
      </c>
      <c r="AD507">
        <v>504</v>
      </c>
      <c r="AE507" t="s">
        <v>680</v>
      </c>
      <c r="AF507" t="s">
        <v>679</v>
      </c>
    </row>
    <row r="508" spans="27:32" x14ac:dyDescent="0.2">
      <c r="AA508" t="s">
        <v>681</v>
      </c>
      <c r="AB508" t="str">
        <f>HLOOKUP($Q$2,$AD$4:$AK$800,AD508)</f>
        <v>Cell L3. Free cell.</v>
      </c>
      <c r="AD508">
        <v>505</v>
      </c>
      <c r="AE508" t="s">
        <v>683</v>
      </c>
      <c r="AF508" t="s">
        <v>682</v>
      </c>
    </row>
    <row r="509" spans="27:32" x14ac:dyDescent="0.2">
      <c r="AA509" t="s">
        <v>684</v>
      </c>
      <c r="AB509" t="str">
        <f>HLOOKUP($Q$2,$AD$4:$AK$800,AD509)</f>
        <v>Cell L4. Free cell.</v>
      </c>
      <c r="AD509">
        <v>506</v>
      </c>
      <c r="AE509" t="s">
        <v>686</v>
      </c>
      <c r="AF509" t="s">
        <v>685</v>
      </c>
    </row>
    <row r="510" spans="27:32" x14ac:dyDescent="0.2">
      <c r="AA510" t="s">
        <v>687</v>
      </c>
      <c r="AB510" t="str">
        <f>HLOOKUP($Q$2,$AD$4:$AK$800,AD510)</f>
        <v xml:space="preserve"> --&gt;&gt; set the dynamic parameter to its last value. _x000D_advance one step.</v>
      </c>
      <c r="AD510">
        <v>507</v>
      </c>
      <c r="AE510" t="s">
        <v>939</v>
      </c>
      <c r="AF510" t="s">
        <v>938</v>
      </c>
    </row>
    <row r="511" spans="27:32" x14ac:dyDescent="0.2">
      <c r="AA511" t="s">
        <v>688</v>
      </c>
      <c r="AB511" t="str">
        <f>HLOOKUP($Q$2,$AD$4:$AK$800,AD511)</f>
        <v>Cell M1. Free cell.</v>
      </c>
      <c r="AD511">
        <v>508</v>
      </c>
      <c r="AE511" t="s">
        <v>690</v>
      </c>
      <c r="AF511" t="s">
        <v>689</v>
      </c>
    </row>
    <row r="512" spans="27:32" x14ac:dyDescent="0.2">
      <c r="AA512" t="s">
        <v>691</v>
      </c>
      <c r="AB512" t="str">
        <f>HLOOKUP($Q$2,$AD$4:$AK$800,AD512)</f>
        <v>Cell M2. Free cell.</v>
      </c>
      <c r="AD512">
        <v>509</v>
      </c>
      <c r="AE512" t="s">
        <v>693</v>
      </c>
      <c r="AF512" t="s">
        <v>692</v>
      </c>
    </row>
    <row r="513" spans="27:32" x14ac:dyDescent="0.2">
      <c r="AA513" t="s">
        <v>694</v>
      </c>
      <c r="AB513" t="str">
        <f>HLOOKUP($Q$2,$AD$4:$AK$800,AD513)</f>
        <v>Cell M3. Free cell.</v>
      </c>
      <c r="AD513">
        <v>510</v>
      </c>
      <c r="AE513" t="s">
        <v>696</v>
      </c>
      <c r="AF513" t="s">
        <v>695</v>
      </c>
    </row>
    <row r="514" spans="27:32" x14ac:dyDescent="0.2">
      <c r="AA514" t="s">
        <v>697</v>
      </c>
      <c r="AB514" t="str">
        <f>HLOOKUP($Q$2,$AD$4:$AK$800,AD514)</f>
        <v>Cell M4. Free cell.</v>
      </c>
      <c r="AD514">
        <v>511</v>
      </c>
      <c r="AE514" t="s">
        <v>699</v>
      </c>
      <c r="AF514" t="s">
        <v>698</v>
      </c>
    </row>
    <row r="515" spans="27:32" x14ac:dyDescent="0.2">
      <c r="AA515" t="s">
        <v>700</v>
      </c>
      <c r="AB515" t="str">
        <f>HLOOKUP($Q$2,$AD$4:$AK$800,AD515)</f>
        <v>Cell M5. Free cell.</v>
      </c>
      <c r="AD515">
        <v>512</v>
      </c>
      <c r="AE515" t="s">
        <v>702</v>
      </c>
      <c r="AF515" t="s">
        <v>701</v>
      </c>
    </row>
    <row r="516" spans="27:32" x14ac:dyDescent="0.2">
      <c r="AA516" t="s">
        <v>703</v>
      </c>
      <c r="AB516" t="str">
        <f>HLOOKUP($Q$2,$AD$4:$AK$800,AD516)</f>
        <v>Cell N1. Free cell.</v>
      </c>
      <c r="AD516">
        <v>513</v>
      </c>
      <c r="AE516" t="s">
        <v>705</v>
      </c>
      <c r="AF516" t="s">
        <v>704</v>
      </c>
    </row>
    <row r="517" spans="27:32" x14ac:dyDescent="0.2">
      <c r="AA517" t="s">
        <v>706</v>
      </c>
      <c r="AB517" t="str">
        <f>HLOOKUP($Q$2,$AD$4:$AK$800,AD517)</f>
        <v>Cell N2. Free cell.</v>
      </c>
      <c r="AD517">
        <v>514</v>
      </c>
      <c r="AE517" t="s">
        <v>708</v>
      </c>
      <c r="AF517" t="s">
        <v>707</v>
      </c>
    </row>
    <row r="518" spans="27:32" x14ac:dyDescent="0.2">
      <c r="AA518" t="s">
        <v>709</v>
      </c>
      <c r="AB518" t="str">
        <f>HLOOKUP($Q$2,$AD$4:$AK$800,AD518)</f>
        <v>Cell N3. Free cell.</v>
      </c>
      <c r="AD518">
        <v>515</v>
      </c>
      <c r="AE518" t="s">
        <v>711</v>
      </c>
      <c r="AF518" t="s">
        <v>710</v>
      </c>
    </row>
    <row r="519" spans="27:32" x14ac:dyDescent="0.2">
      <c r="AA519" t="s">
        <v>712</v>
      </c>
      <c r="AB519" t="str">
        <f>HLOOKUP($Q$2,$AD$4:$AK$800,AD519)</f>
        <v>Cell N4. Free cell.</v>
      </c>
      <c r="AD519">
        <v>516</v>
      </c>
      <c r="AE519" t="s">
        <v>714</v>
      </c>
      <c r="AF519" t="s">
        <v>713</v>
      </c>
    </row>
    <row r="520" spans="27:32" x14ac:dyDescent="0.2">
      <c r="AA520" t="s">
        <v>715</v>
      </c>
      <c r="AB520" t="str">
        <f>HLOOKUP($Q$2,$AD$4:$AK$800,AD520)</f>
        <v>Cell N5. Free cell.</v>
      </c>
      <c r="AD520">
        <v>517</v>
      </c>
      <c r="AE520" t="s">
        <v>717</v>
      </c>
      <c r="AF520" t="s">
        <v>716</v>
      </c>
    </row>
    <row r="521" spans="27:32" x14ac:dyDescent="0.2">
      <c r="AA521" t="s">
        <v>718</v>
      </c>
      <c r="AB521" t="str">
        <f>HLOOKUP($Q$2,$AD$4:$AK$800,AD521)</f>
        <v>Cell O1. Free cell.</v>
      </c>
      <c r="AD521">
        <v>518</v>
      </c>
      <c r="AE521" t="s">
        <v>720</v>
      </c>
      <c r="AF521" t="s">
        <v>719</v>
      </c>
    </row>
    <row r="522" spans="27:32" x14ac:dyDescent="0.2">
      <c r="AA522" t="s">
        <v>721</v>
      </c>
      <c r="AB522" t="str">
        <f>HLOOKUP($Q$2,$AD$4:$AK$800,AD522)</f>
        <v>Manuals and books on the ScienSolar models. Find at this link the manuals and books in Spanish and English, and in the future in other languages, on how to get the most out of this package for your own models of physics and mathematics. The books are offered in print versions and online reading versions.</v>
      </c>
      <c r="AD522">
        <v>519</v>
      </c>
      <c r="AE522" t="s">
        <v>941</v>
      </c>
      <c r="AF522" t="s">
        <v>940</v>
      </c>
    </row>
    <row r="523" spans="27:32" x14ac:dyDescent="0.2">
      <c r="AA523" t="s">
        <v>722</v>
      </c>
      <c r="AB523" t="str">
        <f>HLOOKUP($Q$2,$AD$4:$AK$800,AD523)</f>
        <v>Cell O3. Free cell.</v>
      </c>
      <c r="AD523">
        <v>520</v>
      </c>
      <c r="AE523" t="s">
        <v>724</v>
      </c>
      <c r="AF523" t="s">
        <v>723</v>
      </c>
    </row>
    <row r="524" spans="27:32" x14ac:dyDescent="0.2">
      <c r="AA524" t="s">
        <v>725</v>
      </c>
      <c r="AB524" t="str">
        <f>HLOOKUP($Q$2,$AD$4:$AK$800,AD524)</f>
        <v>Cell O4. Free cell.</v>
      </c>
      <c r="AD524">
        <v>521</v>
      </c>
      <c r="AE524" t="s">
        <v>727</v>
      </c>
      <c r="AF524" t="s">
        <v>726</v>
      </c>
    </row>
    <row r="525" spans="27:32" x14ac:dyDescent="0.2">
      <c r="AA525" t="s">
        <v>728</v>
      </c>
      <c r="AB525" t="str">
        <f>HLOOKUP($Q$2,$AD$4:$AK$800,AD525)</f>
        <v>Cell O5. Free cell.</v>
      </c>
      <c r="AD525">
        <v>522</v>
      </c>
      <c r="AE525" t="s">
        <v>730</v>
      </c>
      <c r="AF525" t="s">
        <v>729</v>
      </c>
    </row>
    <row r="526" spans="27:32" x14ac:dyDescent="0.2">
      <c r="AA526" t="s">
        <v>731</v>
      </c>
      <c r="AB526" t="str">
        <f>HLOOKUP($Q$2,$AD$4:$AK$800,AD526)</f>
        <v>Cell P1. Free cell.</v>
      </c>
      <c r="AD526">
        <v>523</v>
      </c>
      <c r="AE526" t="s">
        <v>733</v>
      </c>
      <c r="AF526" t="s">
        <v>732</v>
      </c>
    </row>
    <row r="527" spans="27:32" x14ac:dyDescent="0.2">
      <c r="AA527" t="s">
        <v>734</v>
      </c>
      <c r="AB527" t="str">
        <f>HLOOKUP($Q$2,$AD$4:$AK$800,AD527)</f>
        <v>Manuals and books on the ScienSolar models. Find at this link the manuals and books in Spanish and English, and in the future in other languages, on how to get the most out of this package for your own models of physics and mathematics. The books are offered in print versions and online reading versions.</v>
      </c>
      <c r="AD527">
        <v>524</v>
      </c>
      <c r="AE527" t="s">
        <v>941</v>
      </c>
      <c r="AF527" t="s">
        <v>940</v>
      </c>
    </row>
    <row r="528" spans="27:32" x14ac:dyDescent="0.2">
      <c r="AA528" t="s">
        <v>735</v>
      </c>
      <c r="AB528" t="str">
        <f>HLOOKUP($Q$2,$AD$4:$AK$800,AD528)</f>
        <v>Cell P3. Free cell.</v>
      </c>
      <c r="AD528">
        <v>525</v>
      </c>
      <c r="AE528" t="s">
        <v>737</v>
      </c>
      <c r="AF528" t="s">
        <v>736</v>
      </c>
    </row>
    <row r="529" spans="27:32" x14ac:dyDescent="0.2">
      <c r="AA529" t="s">
        <v>738</v>
      </c>
      <c r="AB529" t="str">
        <f>HLOOKUP($Q$2,$AD$4:$AK$800,AD529)</f>
        <v>Cell P4. Free cell.</v>
      </c>
      <c r="AD529">
        <v>526</v>
      </c>
      <c r="AE529" t="s">
        <v>740</v>
      </c>
      <c r="AF529" t="s">
        <v>739</v>
      </c>
    </row>
    <row r="530" spans="27:32" x14ac:dyDescent="0.2">
      <c r="AA530" t="s">
        <v>741</v>
      </c>
      <c r="AB530" t="str">
        <f>HLOOKUP($Q$2,$AD$4:$AK$800,AD530)</f>
        <v xml:space="preserve">Press this button to open a new spreadsheet for a new project or to open other ScienSolar projects. Each sheet is completely independent and multiple sheets can be opened simultaneously without affecting already open projects </v>
      </c>
      <c r="AD530">
        <v>527</v>
      </c>
      <c r="AE530" t="s">
        <v>943</v>
      </c>
      <c r="AF530" t="s">
        <v>942</v>
      </c>
    </row>
    <row r="531" spans="27:32" x14ac:dyDescent="0.2">
      <c r="AA531" t="s">
        <v>742</v>
      </c>
      <c r="AB531" t="str">
        <f>HLOOKUP($Q$2,$AD$4:$AK$800,AD531)</f>
        <v>Cell Q1. Free cell.</v>
      </c>
      <c r="AD531">
        <v>528</v>
      </c>
      <c r="AE531" t="s">
        <v>744</v>
      </c>
      <c r="AF531" t="s">
        <v>743</v>
      </c>
    </row>
    <row r="532" spans="27:32" x14ac:dyDescent="0.2">
      <c r="AA532" t="s">
        <v>745</v>
      </c>
      <c r="AB532" t="str">
        <f>HLOOKUP($Q$2,$AD$4:$AK$800,AD532)</f>
        <v>Cell Q2. Free cell.</v>
      </c>
      <c r="AD532">
        <v>529</v>
      </c>
      <c r="AE532" t="s">
        <v>747</v>
      </c>
      <c r="AF532" t="s">
        <v>746</v>
      </c>
    </row>
    <row r="533" spans="27:32" x14ac:dyDescent="0.2">
      <c r="AA533" t="s">
        <v>748</v>
      </c>
      <c r="AB533" t="str">
        <f>HLOOKUP($Q$2,$AD$4:$AK$800,AD533)</f>
        <v>Cell Q3. Free cell.</v>
      </c>
      <c r="AD533">
        <v>530</v>
      </c>
      <c r="AE533" t="s">
        <v>750</v>
      </c>
      <c r="AF533" t="s">
        <v>749</v>
      </c>
    </row>
    <row r="534" spans="27:32" x14ac:dyDescent="0.2">
      <c r="AA534" t="s">
        <v>751</v>
      </c>
      <c r="AB534" t="str">
        <f>HLOOKUP($Q$2,$AD$4:$AK$800,AD534)</f>
        <v>Cell Q4. Free cell.</v>
      </c>
      <c r="AD534">
        <v>531</v>
      </c>
      <c r="AE534" t="s">
        <v>753</v>
      </c>
      <c r="AF534" t="s">
        <v>752</v>
      </c>
    </row>
    <row r="535" spans="27:32" x14ac:dyDescent="0.2">
      <c r="AA535" t="s">
        <v>754</v>
      </c>
      <c r="AB535" t="str">
        <f>HLOOKUP($Q$2,$AD$4:$AK$800,AD535)</f>
        <v>List of projects. For a project to appear in this list, two requirements must be met. 1. It must be listed on the CONFIG sheet. 2. Its code must be in the book's VBA editor of Excel, with its header configured correctly. Each project can have different versions depending on its language, each of them with its own code and its header distinguished by the language acronym (for example EN, ES, etc.)</v>
      </c>
      <c r="AD535">
        <v>532</v>
      </c>
      <c r="AE535" t="s">
        <v>945</v>
      </c>
      <c r="AF535" t="s">
        <v>944</v>
      </c>
    </row>
    <row r="536" spans="27:32" x14ac:dyDescent="0.2">
      <c r="AA536" t="s">
        <v>755</v>
      </c>
      <c r="AB536" t="str">
        <f>HLOOKUP($Q$2,$AD$4:$AK$800,AD536)</f>
        <v>Cell R1. Free cell.</v>
      </c>
      <c r="AD536">
        <v>533</v>
      </c>
      <c r="AE536" t="s">
        <v>757</v>
      </c>
      <c r="AF536" t="s">
        <v>756</v>
      </c>
    </row>
    <row r="537" spans="27:32" x14ac:dyDescent="0.2">
      <c r="AA537" t="s">
        <v>758</v>
      </c>
      <c r="AB537" t="str">
        <f>HLOOKUP($Q$2,$AD$4:$AK$800,AD537)</f>
        <v>Cell R2. Free cell.</v>
      </c>
      <c r="AD537">
        <v>534</v>
      </c>
      <c r="AE537" t="s">
        <v>760</v>
      </c>
      <c r="AF537" t="s">
        <v>759</v>
      </c>
    </row>
    <row r="538" spans="27:32" x14ac:dyDescent="0.2">
      <c r="AA538" t="s">
        <v>761</v>
      </c>
      <c r="AB538" t="str">
        <f>HLOOKUP($Q$2,$AD$4:$AK$800,AD538)</f>
        <v>Cell R3. Free cell.</v>
      </c>
      <c r="AD538">
        <v>535</v>
      </c>
      <c r="AE538" t="s">
        <v>763</v>
      </c>
      <c r="AF538" t="s">
        <v>762</v>
      </c>
    </row>
    <row r="539" spans="27:32" x14ac:dyDescent="0.2">
      <c r="AA539" t="s">
        <v>764</v>
      </c>
      <c r="AB539" t="str">
        <f>HLOOKUP($Q$2,$AD$4:$AK$800,AD539)</f>
        <v>Cell R4. Free cell.</v>
      </c>
      <c r="AD539">
        <v>536</v>
      </c>
      <c r="AE539" t="s">
        <v>766</v>
      </c>
      <c r="AF539" t="s">
        <v>765</v>
      </c>
    </row>
    <row r="540" spans="27:32" x14ac:dyDescent="0.2">
      <c r="AA540" t="s">
        <v>767</v>
      </c>
      <c r="AB540" t="str">
        <f>HLOOKUP($Q$2,$AD$4:$AK$800,AD540)</f>
        <v>List of projects. For a project to appear in this list, two requirements must be met. 1. It must be listed on the CONFIG sheet. 2. Its code must be in the book's VBA editor of Excel, with its header configured correctly. Each project can have different versions depending on its language, each of them with its own code and its header distinguished by the language acronym (for example EN, ES, etc.)</v>
      </c>
      <c r="AD540">
        <v>537</v>
      </c>
      <c r="AE540" t="s">
        <v>945</v>
      </c>
      <c r="AF540" t="s">
        <v>944</v>
      </c>
    </row>
    <row r="541" spans="27:32" x14ac:dyDescent="0.2">
      <c r="AA541" t="s">
        <v>768</v>
      </c>
      <c r="AB541" t="str">
        <f>HLOOKUP($Q$2,$AD$4:$AK$800,AD541)</f>
        <v>Cell S1. Free cell.</v>
      </c>
      <c r="AD541">
        <v>538</v>
      </c>
      <c r="AE541" t="s">
        <v>770</v>
      </c>
      <c r="AF541" t="s">
        <v>769</v>
      </c>
    </row>
    <row r="542" spans="27:32" x14ac:dyDescent="0.2">
      <c r="AA542" t="s">
        <v>771</v>
      </c>
      <c r="AB542" t="str">
        <f>HLOOKUP($Q$2,$AD$4:$AK$800,AD542)</f>
        <v>The function of the Reset button is to delete all the current content of the spreadsheet and return to the settings of a new sheet. This action is irreversible but only affects changes made after having opened a project. Projects already saved in ScienSolar by copying the code to the VBA editor are not affected by the action of this button.</v>
      </c>
      <c r="AD542">
        <v>539</v>
      </c>
      <c r="AE542" t="s">
        <v>947</v>
      </c>
      <c r="AF542" t="s">
        <v>946</v>
      </c>
    </row>
    <row r="543" spans="27:32" x14ac:dyDescent="0.2">
      <c r="AA543" t="s">
        <v>772</v>
      </c>
      <c r="AB543" t="str">
        <f>HLOOKUP($Q$2,$AD$4:$AK$800,AD543)</f>
        <v>Cell S3. Free cell.</v>
      </c>
      <c r="AD543">
        <v>540</v>
      </c>
      <c r="AE543" t="s">
        <v>774</v>
      </c>
      <c r="AF543" t="s">
        <v>773</v>
      </c>
    </row>
    <row r="544" spans="27:32" x14ac:dyDescent="0.2">
      <c r="AA544" t="s">
        <v>775</v>
      </c>
      <c r="AB544" t="str">
        <f>HLOOKUP($Q$2,$AD$4:$AK$800,AD544)</f>
        <v>Cell S4. Free cell.</v>
      </c>
      <c r="AD544">
        <v>541</v>
      </c>
      <c r="AE544" t="s">
        <v>777</v>
      </c>
      <c r="AF544" t="s">
        <v>776</v>
      </c>
    </row>
    <row r="545" spans="27:32" x14ac:dyDescent="0.2">
      <c r="AA545" t="s">
        <v>778</v>
      </c>
      <c r="AB545" t="str">
        <f>HLOOKUP($Q$2,$AD$4:$AK$800,AD545)</f>
        <v>List of projects. For a project to appear in this list, two requirements must be met. 1. It must be listed on the CONFIG sheet. 2. Its code must be in the book's VBA editor of Excel, with its header configured correctly. Each project can have different versions depending on its language, each of them with its own code and its header distinguished by the language acronym (for example EN, ES, etc.)</v>
      </c>
      <c r="AD545">
        <v>542</v>
      </c>
      <c r="AE545" t="s">
        <v>945</v>
      </c>
      <c r="AF545" t="s">
        <v>944</v>
      </c>
    </row>
    <row r="546" spans="27:32" x14ac:dyDescent="0.2">
      <c r="AA546" t="s">
        <v>779</v>
      </c>
      <c r="AB546" t="str">
        <f>HLOOKUP($Q$2,$AD$4:$AK$800,AD546)</f>
        <v>Cell T1. Free cell.</v>
      </c>
      <c r="AD546">
        <v>543</v>
      </c>
      <c r="AE546" t="s">
        <v>781</v>
      </c>
      <c r="AF546" t="s">
        <v>780</v>
      </c>
    </row>
    <row r="547" spans="27:32" x14ac:dyDescent="0.2">
      <c r="AA547" t="s">
        <v>782</v>
      </c>
      <c r="AB547" t="str">
        <f>HLOOKUP($Q$2,$AD$4:$AK$800,AD547)</f>
        <v xml:space="preserve">Language of the interface and the current project. Select the preferred language and press Run. To save a project in a new language, open the project in the existing language, edit it in the new language and before exporting it with the CODE button, select the new language from the drop-down list. After exporting, copy the code from the exported file and paste it into the VBA editor. For language versions of the same project, you do not need to add it to the list of projects in CONFIG, just add the translation of the title in the corresponding column. </v>
      </c>
      <c r="AD547">
        <v>544</v>
      </c>
      <c r="AE547" t="s">
        <v>950</v>
      </c>
      <c r="AF547" t="s">
        <v>948</v>
      </c>
    </row>
    <row r="548" spans="27:32" x14ac:dyDescent="0.2">
      <c r="AA548" t="s">
        <v>783</v>
      </c>
      <c r="AB548" t="str">
        <f>HLOOKUP($Q$2,$AD$4:$AK$800,AD548)</f>
        <v>Cell T3. Free cell.</v>
      </c>
      <c r="AD548">
        <v>545</v>
      </c>
      <c r="AE548" t="s">
        <v>785</v>
      </c>
      <c r="AF548" t="s">
        <v>784</v>
      </c>
    </row>
    <row r="549" spans="27:32" x14ac:dyDescent="0.2">
      <c r="AA549" t="s">
        <v>786</v>
      </c>
      <c r="AB549" t="str">
        <f>HLOOKUP($Q$2,$AD$4:$AK$800,AD549)</f>
        <v>Cell T4. Free cell.</v>
      </c>
      <c r="AD549">
        <v>546</v>
      </c>
      <c r="AE549" t="s">
        <v>788</v>
      </c>
      <c r="AF549" t="s">
        <v>787</v>
      </c>
    </row>
    <row r="550" spans="27:32" x14ac:dyDescent="0.2">
      <c r="AA550" t="s">
        <v>789</v>
      </c>
      <c r="AB550" t="str">
        <f>HLOOKUP($Q$2,$AD$4:$AK$800,AD550)</f>
        <v>The vector button has two functions: 1. If the project list has no project selected, this button will add a new vector. 2. If the list has a project selected, the selected project will be loaded to the sheet. Note: there are large projects that need to be loaded in parts, so you will have to press this button several times, these large projects have more than 20 vectors in their configuration. If a project already exists in the spreadsheet and If you want to load another project, you must reset the sheet. You cannot load two projects to the same sheet.</v>
      </c>
      <c r="AD550">
        <v>547</v>
      </c>
      <c r="AE550" t="s">
        <v>951</v>
      </c>
      <c r="AF550" t="s">
        <v>949</v>
      </c>
    </row>
    <row r="551" spans="27:32" x14ac:dyDescent="0.2">
      <c r="AA551" t="s">
        <v>790</v>
      </c>
      <c r="AB551" t="str">
        <f>HLOOKUP($Q$2,$AD$4:$AK$800,AD551)</f>
        <v>Cell U1. Free cell.</v>
      </c>
      <c r="AD551">
        <v>548</v>
      </c>
      <c r="AE551" t="s">
        <v>792</v>
      </c>
      <c r="AF551" t="s">
        <v>791</v>
      </c>
    </row>
    <row r="552" spans="27:32" x14ac:dyDescent="0.2">
      <c r="AA552" t="s">
        <v>793</v>
      </c>
      <c r="AB552" t="str">
        <f>HLOOKUP($Q$2,$AD$4:$AK$800,AD552)</f>
        <v>Cell U2. Free cell.</v>
      </c>
      <c r="AD552">
        <v>549</v>
      </c>
      <c r="AE552" t="s">
        <v>795</v>
      </c>
      <c r="AF552" t="s">
        <v>794</v>
      </c>
    </row>
    <row r="553" spans="27:32" x14ac:dyDescent="0.2">
      <c r="AA553" t="s">
        <v>796</v>
      </c>
      <c r="AB553" t="str">
        <f>HLOOKUP($Q$2,$AD$4:$AK$800,AD553)</f>
        <v>Cell U3. Free cell.</v>
      </c>
      <c r="AD553">
        <v>550</v>
      </c>
      <c r="AE553" t="s">
        <v>798</v>
      </c>
      <c r="AF553" t="s">
        <v>797</v>
      </c>
    </row>
    <row r="554" spans="27:32" x14ac:dyDescent="0.2">
      <c r="AA554" t="s">
        <v>799</v>
      </c>
      <c r="AB554" t="str">
        <f>HLOOKUP($Q$2,$AD$4:$AK$800,AD554)</f>
        <v>Cell U4. Free cell.</v>
      </c>
      <c r="AD554">
        <v>551</v>
      </c>
      <c r="AE554" t="s">
        <v>801</v>
      </c>
      <c r="AF554" t="s">
        <v>800</v>
      </c>
    </row>
    <row r="555" spans="27:32" x14ac:dyDescent="0.2">
      <c r="AA555" t="s">
        <v>802</v>
      </c>
      <c r="AB555" t="str">
        <f>HLOOKUP($Q$2,$AD$4:$AK$800,AD555)</f>
        <v>Cell U5. Free cell.</v>
      </c>
      <c r="AD555">
        <v>552</v>
      </c>
      <c r="AE555" t="s">
        <v>804</v>
      </c>
      <c r="AF555" t="s">
        <v>803</v>
      </c>
    </row>
    <row r="556" spans="27:32" x14ac:dyDescent="0.2">
      <c r="AD556">
        <v>553</v>
      </c>
    </row>
    <row r="557" spans="27:32" x14ac:dyDescent="0.2">
      <c r="AD557">
        <v>554</v>
      </c>
    </row>
    <row r="558" spans="27:32" x14ac:dyDescent="0.2">
      <c r="AD558">
        <v>555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print="0" autoFill="0" autoPict="0" macro="[0]!NewSheet">
                <anchor moveWithCells="1" sizeWithCells="1">
                  <from>
                    <xdr:col>0</xdr:col>
                    <xdr:colOff>254000</xdr:colOff>
                    <xdr:row>7</xdr:row>
                    <xdr:rowOff>101600</xdr:rowOff>
                  </from>
                  <to>
                    <xdr:col>1</xdr:col>
                    <xdr:colOff>647700</xdr:colOff>
                    <xdr:row>8</xdr:row>
                    <xdr:rowOff>165100</xdr:rowOff>
                  </to>
                </anchor>
              </controlPr>
            </control>
          </mc:Choice>
        </mc:AlternateContent>
        <mc:AlternateContent xmlns:mc="http://schemas.openxmlformats.org/markup-compatibility/2006">
          <mc:Choice Requires="x14">
            <control shapeId="2051" r:id="rId4" name="RefreshList">
              <controlPr defaultSize="0" print="0" autoFill="0" autoPict="0" macro="[0]!CheckIfProjectExists">
                <anchor moveWithCells="1" sizeWithCells="1">
                  <from>
                    <xdr:col>0</xdr:col>
                    <xdr:colOff>0</xdr:colOff>
                    <xdr:row>46</xdr:row>
                    <xdr:rowOff>0</xdr:rowOff>
                  </from>
                  <to>
                    <xdr:col>0</xdr:col>
                    <xdr:colOff>787400</xdr:colOff>
                    <xdr:row>47</xdr:row>
                    <xdr:rowOff>177800</xdr:rowOff>
                  </to>
                </anchor>
              </controlPr>
            </control>
          </mc:Choice>
        </mc:AlternateContent>
        <mc:AlternateContent xmlns:mc="http://schemas.openxmlformats.org/markup-compatibility/2006">
          <mc:Choice Requires="x14">
            <control shapeId="2052" r:id="rId5" name="LangList2">
              <controlPr defaultSize="0" autoFill="0" autoPict="0">
                <anchor moveWithCells="1">
                  <from>
                    <xdr:col>0</xdr:col>
                    <xdr:colOff>0</xdr:colOff>
                    <xdr:row>44</xdr:row>
                    <xdr:rowOff>0</xdr:rowOff>
                  </from>
                  <to>
                    <xdr:col>0</xdr:col>
                    <xdr:colOff>787400</xdr:colOff>
                    <xdr:row>44</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8A6DE5-F356-D64F-B8F7-0BA934AFC585}">
  <sheetPr codeName="Hoja1"/>
  <dimension ref="A1"/>
  <sheetViews>
    <sheetView workbookViewId="0">
      <selection activeCell="H14" sqref="H14"/>
    </sheetView>
  </sheetViews>
  <sheetFormatPr baseColWidth="10" defaultRowHeight="16" x14ac:dyDescent="0.2"/>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NewSheet">
                <anchor moveWithCells="1" sizeWithCells="1">
                  <from>
                    <xdr:col>6</xdr:col>
                    <xdr:colOff>406400</xdr:colOff>
                    <xdr:row>7</xdr:row>
                    <xdr:rowOff>63500</xdr:rowOff>
                  </from>
                  <to>
                    <xdr:col>8</xdr:col>
                    <xdr:colOff>279400</xdr:colOff>
                    <xdr:row>9</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3</vt:i4>
      </vt:variant>
    </vt:vector>
  </HeadingPairs>
  <TitlesOfParts>
    <vt:vector size="3" baseType="lpstr">
      <vt:lpstr>Hoja3</vt:lpstr>
      <vt:lpstr>CONFIG</vt:lpstr>
      <vt:lpstr>Hoja1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2025-09-02T02:08:48Z</dcterms:created>
  <dcterms:modified xsi:type="dcterms:W3CDTF">2025-09-02T02:56:20Z</dcterms:modified>
</cp:coreProperties>
</file>